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38640" windowHeight="21120" firstSheet="0" activeTab="0"/>
  </bookViews>
  <sheets>
    <sheet name="工作计划总表" sheetId="1" state="visible" r:id="rId1"/>
    <sheet name="计划看板" sheetId="2" state="visible" r:id="rId2"/>
    <sheet name="里程碑甘特图" sheetId="3" state="visible" r:id="rId3"/>
    <sheet name="字段字典" sheetId="4" state="visible" r:id="rId4"/>
    <sheet name="原始记录" sheetId="5" state="visible" r:id="rId5"/>
    <sheet name="Block交付清单" sheetId="6" state="visible" r:id="rId6"/>
    <sheet name="周复盘" sheetId="7" state="visible" r:id="rId7"/>
  </sheets>
  <calcPr calcId="191029"/>
</workbook>
</file>

<file path=xl/sharedStrings.xml><?xml version="1.0" encoding="utf-8"?>
<sst xmlns="http://schemas.openxmlformats.org/spreadsheetml/2006/main" count="398" uniqueCount="398">
  <si>
    <t>Block套路工作计划总表</t>
  </si>
  <si>
    <t>目标：把零散套路清单升级为可执行、可追踪、可验收、可复盘的Block开发计划</t>
  </si>
  <si>
    <t>编号</t>
  </si>
  <si>
    <t>工作模块</t>
  </si>
  <si>
    <t>研究场景</t>
  </si>
  <si>
    <t>是否已做Block</t>
  </si>
  <si>
    <t>优先级</t>
  </si>
  <si>
    <t>状态</t>
  </si>
  <si>
    <t>当前阶段</t>
  </si>
  <si>
    <t>负责人</t>
  </si>
  <si>
    <t>计划开始</t>
  </si>
  <si>
    <t>计划完成</t>
  </si>
  <si>
    <t>剩余天数</t>
  </si>
  <si>
    <t>进度</t>
  </si>
  <si>
    <t>本周/下一步动作</t>
  </si>
  <si>
    <t>关键交付物</t>
  </si>
  <si>
    <t>输入数据/前置条件</t>
  </si>
  <si>
    <t>验收标准</t>
  </si>
  <si>
    <t>风险/卡点</t>
  </si>
  <si>
    <t>复盘备注</t>
  </si>
  <si>
    <t>B01</t>
  </si>
  <si>
    <t>发病</t>
  </si>
  <si>
    <t>队列/横断面转发病风险</t>
  </si>
  <si>
    <t>是</t>
  </si>
  <si>
    <t>P0-最高</t>
  </si>
  <si>
    <t>开发中</t>
  </si>
  <si>
    <t>Block标准化</t>
  </si>
  <si>
    <t>我</t>
  </si>
  <si>
    <t>能一键输出HR/OR、置信区间、P值、森林图/结果表；异常字段有提示</t>
  </si>
  <si>
    <t>时间变量、事件定义、删失逻辑容易混乱</t>
  </si>
  <si>
    <t>B02</t>
  </si>
  <si>
    <t>预后</t>
  </si>
  <si>
    <t>疾病患者结局/生存分析</t>
  </si>
  <si>
    <t>Kaplan-Meier/Cox结果稳定输出；缺失值与删失规则写入日志</t>
  </si>
  <si>
    <t>结局日期、随访终止日期、死亡/复发等多终点定义需核对</t>
  </si>
  <si>
    <t>B03</t>
  </si>
  <si>
    <t>预测</t>
  </si>
  <si>
    <t>风险预测模型/评分系统</t>
  </si>
  <si>
    <t>需求确认</t>
  </si>
  <si>
    <t>自动输出训练/验证指标、变量重要性、校准图、DCA图</t>
  </si>
  <si>
    <t>过拟合、类别不平衡、外部验证缺失</t>
  </si>
  <si>
    <t>B04</t>
  </si>
  <si>
    <t>环境</t>
  </si>
  <si>
    <t>环境暴露/时空匹配</t>
  </si>
  <si>
    <t>否</t>
  </si>
  <si>
    <t>P1-高</t>
  </si>
  <si>
    <t>未开始</t>
  </si>
  <si>
    <t>完成个体-空间-时间三维匹配；可导出暴露矩阵和质量检查表</t>
  </si>
  <si>
    <t>地址精度、缺失空间坐标、跨尺度匹配误差</t>
  </si>
  <si>
    <t>B05</t>
  </si>
  <si>
    <t>无监督聚类</t>
  </si>
  <si>
    <t>表型识别/人群分型</t>
  </si>
  <si>
    <t>测试中</t>
  </si>
  <si>
    <t>质量检查</t>
  </si>
  <si>
    <t>输出最优K建议、轮廓系数、分群特征画像和可视化</t>
  </si>
  <si>
    <t>变量量纲、异常值和缺失值会显著影响分群结果</t>
  </si>
  <si>
    <t>B06</t>
  </si>
  <si>
    <t>交叉滞后</t>
  </si>
  <si>
    <t>纵向变量相互影响</t>
  </si>
  <si>
    <t>P2-中</t>
  </si>
  <si>
    <t>输出自回归路径、交叉路径、模型拟合指标和标准化系数</t>
  </si>
  <si>
    <t>样本量、时间点数量、模型收敛问题</t>
  </si>
  <si>
    <t>B07</t>
  </si>
  <si>
    <t>轨迹（预后）</t>
  </si>
  <si>
    <t>患者结局轨迹/疾病进展分型</t>
  </si>
  <si>
    <t>能输出轨迹类别、组别特征、轨迹图和结局风险比较</t>
  </si>
  <si>
    <t>时间点不齐、轨迹数过多导致解释困难</t>
  </si>
  <si>
    <t>B08</t>
  </si>
  <si>
    <t>轨迹（发病）</t>
  </si>
  <si>
    <t>暴露变化轨迹与发病风险</t>
  </si>
  <si>
    <t>先识别暴露轨迹，再评估不同轨迹组发病风险；输出完整结果表</t>
  </si>
  <si>
    <t>时间顺序必须严格；避免把结局后暴露纳入模型</t>
  </si>
  <si>
    <t>B09</t>
  </si>
  <si>
    <t>不同用药方案</t>
  </si>
  <si>
    <t>治疗方案比较/用药路径</t>
  </si>
  <si>
    <t>能定义方案组、处理基线差异并输出调整后效应量</t>
  </si>
  <si>
    <t>不死时间偏倚、用药依从性、方案切换</t>
  </si>
  <si>
    <t>B10</t>
  </si>
  <si>
    <t>多病叠加</t>
  </si>
  <si>
    <t>共病模式/疾病负担</t>
  </si>
  <si>
    <t>输出共病数量、常见组合、共病网络和分层统计</t>
  </si>
  <si>
    <t>ICD编码映射、疾病时间窗口、重复诊断去重</t>
  </si>
  <si>
    <t>B11</t>
  </si>
  <si>
    <t>多状态马尔可夫</t>
  </si>
  <si>
    <t>疾病状态转移/进展路径</t>
  </si>
  <si>
    <t>P3-低</t>
  </si>
  <si>
    <t>能输出转移强度、转移概率、状态占比随时间变化图</t>
  </si>
  <si>
    <t>状态定义复杂、样本量不足、转移路径过稀疏</t>
  </si>
  <si>
    <t>B12</t>
  </si>
  <si>
    <t>动态因果</t>
  </si>
  <si>
    <t>时变暴露/动态治疗策略</t>
  </si>
  <si>
    <t>完成方法边界、输入格式、Demo结果和使用注意事项</t>
  </si>
  <si>
    <t>方法门槛高，需避免把观察性关联误写成因果</t>
  </si>
  <si>
    <t>Block套路工作计划看板</t>
  </si>
  <si>
    <t>自动汇总任务数量、完成率、逾期风险与本周重点；更新“工作计划总表”后看板会联动变化。</t>
  </si>
  <si>
    <t>总任务数</t>
  </si>
  <si>
    <t>已完成</t>
  </si>
  <si>
    <t>平均进度</t>
  </si>
  <si>
    <t>逾期未完成</t>
  </si>
  <si>
    <t>P0/P1高优先级</t>
  </si>
  <si>
    <t>本周到期</t>
  </si>
  <si>
    <t>已做Block</t>
  </si>
  <si>
    <t>未做Block</t>
  </si>
  <si>
    <t>数量</t>
  </si>
  <si>
    <t>占比</t>
  </si>
  <si>
    <t>待复盘</t>
  </si>
  <si>
    <t>暂停</t>
  </si>
  <si>
    <t>本周重点/高优先级任务（从总表挑选：优先处理P0/P1、临近到期、开发中/测试中）</t>
  </si>
  <si>
    <t>模块</t>
  </si>
  <si>
    <t>下一步动作</t>
  </si>
  <si>
    <t>里程碑甘特图：按周查看每个Block的计划周期</t>
  </si>
  <si>
    <t>说明：灰色圆点表示该任务计划在对应周内推进；日期来自“工作计划总表”。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</si>
  <si>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</si>
  <si>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</si>
  <si>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</si>
  <si>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</si>
  <si>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</si>
  <si>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</si>
  <si>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</si>
  <si>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</si>
  <si>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字段字典与使用说明</t>
  </si>
  <si>
    <t>Block开发流程建议</t>
  </si>
  <si>
    <t>字段/模块</t>
  </si>
  <si>
    <t>建议填写方式</t>
  </si>
  <si>
    <t>用途</t>
  </si>
  <si>
    <t>示例</t>
  </si>
  <si>
    <t>是否必填</t>
  </si>
  <si>
    <t>备注</t>
  </si>
  <si>
    <t>步骤</t>
  </si>
  <si>
    <t>动作</t>
  </si>
  <si>
    <t>输出物</t>
  </si>
  <si>
    <t>检查点</t>
  </si>
  <si>
    <t>完成</t>
  </si>
  <si>
    <t>P0-最高 / P1-高 / P2-中 / P3-低</t>
  </si>
  <si>
    <t>帮助安排开发顺序</t>
  </si>
  <si>
    <t>P0建议先做成可复用Block</t>
  </si>
  <si>
    <t>1</t>
  </si>
  <si>
    <t>确认研究场景与适用边界</t>
  </si>
  <si>
    <t>方法卡/适用场景说明</t>
  </si>
  <si>
    <t>是否能说明“什么时候该用/不该用”</t>
  </si>
  <si>
    <t>□</t>
  </si>
  <si>
    <t>未开始 / 需求确认 / 开发中 / 测试中 / 待复盘 / 已完成 / 暂停</t>
  </si>
  <si>
    <t>追踪推进状态</t>
  </si>
  <si>
    <t>状态会自动映射进度</t>
  </si>
  <si>
    <t>2</t>
  </si>
  <si>
    <t>整理输入数据字段</t>
  </si>
  <si>
    <t>字段清单/示例数据</t>
  </si>
  <si>
    <t>字段名、类型、缺失规则是否明确</t>
  </si>
  <si>
    <t>需求确认 / 方案拆解 / Block标准化 / 质量检查 / 资料储备 / 复盘归档</t>
  </si>
  <si>
    <t>明确当前任务属于哪一步</t>
  </si>
  <si>
    <t>可用于周报汇报</t>
  </si>
  <si>
    <t>3</t>
  </si>
  <si>
    <t>拆成block参数</t>
  </si>
  <si>
    <t>config模板</t>
  </si>
  <si>
    <t>是否只保留可配置项，不写死路径</t>
  </si>
  <si>
    <t>计划开始/完成</t>
  </si>
  <si>
    <t>日期格式 yyyy-mm-dd</t>
  </si>
  <si>
    <t>生成剩余天数和甘特图</t>
  </si>
  <si>
    <t>2026-06-17</t>
  </si>
  <si>
    <t>完成时间要具体到日期</t>
  </si>
  <si>
    <t>4</t>
  </si>
  <si>
    <t>开发最小可运行Demo</t>
  </si>
  <si>
    <t>block脚本+run入口</t>
  </si>
  <si>
    <t>是否能从示例数据跑通</t>
  </si>
  <si>
    <t>写清楚最小可执行动作</t>
  </si>
  <si>
    <t>避免计划空泛</t>
  </si>
  <si>
    <t>补齐输入字段与示例数据</t>
  </si>
  <si>
    <t>一句话即可，但必须可执行</t>
  </si>
  <si>
    <t>5</t>
  </si>
  <si>
    <t>补充质量检查与异常提示</t>
  </si>
  <si>
    <t>QC报告/log</t>
  </si>
  <si>
    <t>错误信息是否能指导用户修正</t>
  </si>
  <si>
    <t>该任务完成后应留下什么文件/模板</t>
  </si>
  <si>
    <t>验收与沉淀</t>
  </si>
  <si>
    <t>config模板、block脚本、结果表</t>
  </si>
  <si>
    <t>建议用文件名或对象名</t>
  </si>
  <si>
    <t>6</t>
  </si>
  <si>
    <t>输出结果表与图</t>
  </si>
  <si>
    <t>结果表/图/报告模板</t>
  </si>
  <si>
    <t>图表是否可直接用于论文或汇报</t>
  </si>
  <si>
    <t>模型或block运行前必须准备什么</t>
  </si>
  <si>
    <t>减少返工</t>
  </si>
  <si>
    <t>ID、暴露、结局、协变量</t>
  </si>
  <si>
    <t>可直接变成README</t>
  </si>
  <si>
    <t>7</t>
  </si>
  <si>
    <t>复盘归档</t>
  </si>
  <si>
    <t>README/版本记录</t>
  </si>
  <si>
    <t>是否能被下一个项目复用</t>
  </si>
  <si>
    <t>完成后如何判断可用</t>
  </si>
  <si>
    <t>避免只写“完成开发”</t>
  </si>
  <si>
    <t>一键输出结果表和图，报错有提示</t>
  </si>
  <si>
    <t>尽量可测试</t>
  </si>
  <si>
    <t>可能导致延迟的问题</t>
  </si>
  <si>
    <t>提前暴露问题</t>
  </si>
  <si>
    <t>时间变量和删失逻辑混乱</t>
  </si>
  <si>
    <t>周复盘重点看这里</t>
  </si>
  <si>
    <t>原始记录：保留上传文件中的原始4列，便于对照</t>
  </si>
  <si>
    <t>套路</t>
  </si>
  <si>
    <t>是否已做block</t>
  </si>
  <si>
    <t>计划完成时间</t>
  </si>
  <si>
    <t>几天这种的</t>
  </si>
  <si>
    <t>Block交付清单：把每个套路沉淀为可复用资产</t>
  </si>
  <si>
    <t>每完成一个套路，不只看“代码是否能跑”，还要检查config、示例数据、输出图表、README、测试记录是否齐全。</t>
  </si>
  <si>
    <t>建议Block键名</t>
  </si>
  <si>
    <t>脚本/函数命名</t>
  </si>
  <si>
    <t>Config键名</t>
  </si>
  <si>
    <t>示例数据</t>
  </si>
  <si>
    <t>结果输出</t>
  </si>
  <si>
    <t>README</t>
  </si>
  <si>
    <t>测试状态</t>
  </si>
  <si>
    <t>版本号</t>
  </si>
  <si>
    <t>incidence_block</t>
  </si>
  <si>
    <t>R/block_incidence.R</t>
  </si>
  <si>
    <t>incidence</t>
  </si>
  <si>
    <t>v0.1</t>
  </si>
  <si>
    <t>prognosis_block</t>
  </si>
  <si>
    <t>R/block_prognosis.R</t>
  </si>
  <si>
    <t>prognosis</t>
  </si>
  <si>
    <t>prediction_block</t>
  </si>
  <si>
    <t>R/block_prediction.R</t>
  </si>
  <si>
    <t>prediction</t>
  </si>
  <si>
    <t>待更新</t>
  </si>
  <si>
    <t>environment_exposure_block</t>
  </si>
  <si>
    <t>R/block_environment_exposure.R</t>
  </si>
  <si>
    <t>environment_exposure</t>
  </si>
  <si>
    <t>需补齐</t>
  </si>
  <si>
    <t>clustering_block</t>
  </si>
  <si>
    <t>R/block_clustering.R</t>
  </si>
  <si>
    <t>clustering</t>
  </si>
  <si>
    <t>cross_lagged_block</t>
  </si>
  <si>
    <t>R/block_cross_lagged.R</t>
  </si>
  <si>
    <t>cross_lagged</t>
  </si>
  <si>
    <t>prognosis_trajectory_block</t>
  </si>
  <si>
    <t>R/block_prognosis_trajectory.R</t>
  </si>
  <si>
    <t>prognosis_trajectory</t>
  </si>
  <si>
    <t>incidence_trajectory_block</t>
  </si>
  <si>
    <t>R/block_incidence_trajectory.R</t>
  </si>
  <si>
    <t>incidence_trajectory</t>
  </si>
  <si>
    <t>treatment_strategy_block</t>
  </si>
  <si>
    <t>R/block_treatment_strategy.R</t>
  </si>
  <si>
    <t>treatment_strategy</t>
  </si>
  <si>
    <t>multimorbidity_block</t>
  </si>
  <si>
    <t>R/block_multimorbidity.R</t>
  </si>
  <si>
    <t>multimorbidity</t>
  </si>
  <si>
    <t>multistate_markov_block</t>
  </si>
  <si>
    <t>R/block_multistate_markov.R</t>
  </si>
  <si>
    <t>multistate_markov</t>
  </si>
  <si>
    <t>dynamic_causal_block</t>
  </si>
  <si>
    <t>R/block_dynamic_causal.R</t>
  </si>
  <si>
    <t>dynamic_causal</t>
  </si>
  <si>
    <t>周复盘：每周检查推进、卡点与下周动作</t>
  </si>
  <si>
    <t>建议每周五更新一次：只写事实、问题、下一步，不写空泛总结。</t>
  </si>
  <si>
    <t>周次</t>
  </si>
  <si>
    <t>周期开始</t>
  </si>
  <si>
    <t>周期结束</t>
  </si>
  <si>
    <t>本周目标</t>
  </si>
  <si>
    <t>计划完成任务</t>
  </si>
  <si>
    <t>实际完成</t>
  </si>
  <si>
    <t>完成率</t>
  </si>
  <si>
    <t>主要卡点</t>
  </si>
  <si>
    <t>下周动作</t>
  </si>
  <si>
    <t>先把已做Block统一标准：发病、预后、无监督聚类</t>
  </si>
  <si>
    <t>完成预测Block方案与环境暴露Block需求</t>
  </si>
  <si>
    <t>推进轨迹类Block标准化</t>
  </si>
  <si>
    <t>补齐交叉滞后与用药方案方法卡</t>
  </si>
  <si>
    <t>沉淀多病叠加共病清单与输出模板</t>
  </si>
  <si>
    <t>准备多状态马尔可夫最小Demo</t>
  </si>
  <si>
    <t>整理动态因果方法边界和Demo</t>
  </si>
  <si>
    <t>总复盘：归档README、示例数据、测试记录</t>
  </si>
  <si>
    <t>徐彤</t>
    <phoneticPr fontId="12" type="noConversion"/>
  </si>
  <si>
    <t>双数据库发病加孟德尔随机化</t>
    <phoneticPr fontId="12" type="noConversion"/>
  </si>
  <si>
    <r>
      <rPr>
        <sz val="11"/>
        <rFont val="微软雅黑"/>
        <family val="2"/>
        <charset val="134"/>
      </rPr>
      <t>复杂网络</t>
    </r>
    <r>
      <rPr>
        <sz val="11"/>
        <rFont val="Carlito"/>
      </rPr>
      <t>（心理）</t>
    </r>
    <phoneticPr fontId="12" type="noConversion"/>
  </si>
  <si>
    <t>无监督聚类（单库）加机器学习</t>
    <phoneticPr fontId="12" type="noConversion"/>
  </si>
  <si>
    <t>CDC WONDER</t>
    <phoneticPr fontId="12" type="noConversion"/>
  </si>
  <si>
    <t>发病轨迹（两年）</t>
    <phoneticPr fontId="12" type="noConversion"/>
  </si>
  <si>
    <r>
      <rPr>
        <sz val="11"/>
        <rFont val="微软雅黑"/>
        <family val="2"/>
        <charset val="134"/>
      </rPr>
      <t>单数据库短时间</t>
    </r>
    <r>
      <rPr>
        <sz val="11"/>
        <rFont val="Arial"/>
        <family val="2"/>
      </rPr>
      <t>transformer</t>
    </r>
    <phoneticPr fontId="12" type="noConversion"/>
  </si>
  <si>
    <t>发病前后比较</t>
    <phoneticPr fontId="12" type="noConversion"/>
  </si>
  <si>
    <t>目标模拟临床试验</t>
    <phoneticPr fontId="12" type="noConversion"/>
  </si>
  <si>
    <t>因果闭环（横断面研究+纵向数据分析）</t>
    <phoneticPr fontId="12" type="noConversion"/>
  </si>
  <si>
    <t>B13</t>
  </si>
  <si>
    <t>B14</t>
  </si>
  <si>
    <t>B15</t>
  </si>
  <si>
    <t>B16</t>
  </si>
  <si>
    <t>B17</t>
  </si>
  <si>
    <t>B18</t>
  </si>
  <si>
    <t>B19</t>
  </si>
  <si>
    <t>B20</t>
  </si>
  <si>
    <t>深度学习多个时间点</t>
    <phoneticPr fontId="12" type="noConversion"/>
  </si>
  <si>
    <t>竞争风险模型</t>
    <phoneticPr fontId="12" type="noConversion"/>
  </si>
  <si>
    <t>多模态融合</t>
    <phoneticPr fontId="12" type="noConversion"/>
  </si>
  <si>
    <t>B21</t>
  </si>
  <si>
    <t>B22</t>
  </si>
  <si>
    <t>B23</t>
  </si>
  <si>
    <t>人工智能clinical summary</t>
    <phoneticPr fontId="12" type="noConversion"/>
  </si>
  <si>
    <t>结构方程</t>
    <phoneticPr fontId="12" type="noConversion"/>
  </si>
  <si>
    <t>人工智能问答对</t>
    <phoneticPr fontId="12" type="noConversion"/>
  </si>
  <si>
    <t>链式中介</t>
    <phoneticPr fontId="12" type="noConversion"/>
  </si>
  <si>
    <t>因果森林轨迹</t>
    <phoneticPr fontId="12" type="noConversion"/>
  </si>
  <si>
    <t>复杂网络的网络温度</t>
    <phoneticPr fontId="12" type="noConversion"/>
  </si>
  <si>
    <t>B24</t>
  </si>
  <si>
    <t>B25</t>
  </si>
  <si>
    <t>B26</t>
  </si>
  <si>
    <t>B27</t>
  </si>
  <si>
    <t>B28</t>
  </si>
  <si>
    <t>B29</t>
  </si>
  <si>
    <t xml:space="preserve">B13</t>
  </si>
  <si>
    <t xml:space="preserve">双数据库发病加孟德尔随机化</t>
  </si>
  <si>
    <t xml:space="preserve">双库发病风险关联 + 孟德尔随机化因果推断</t>
  </si>
  <si>
    <t xml:space="preserve">否</t>
  </si>
  <si>
    <t xml:space="preserve">P1-高</t>
  </si>
  <si>
    <t xml:space="preserve">未开始</t>
  </si>
  <si>
    <t xml:space="preserve">需求确认</t>
  </si>
  <si>
    <t xml:space="preserve">徐彤</t>
  </si>
  <si>
    <t xml:space="preserve">在双库发病流程基础上对接MR分析，输出IVW/MR-Egger结果、敏感性分析与因果方向判断</t>
  </si>
  <si>
    <t xml:space="preserve">工具变量筛选、人群重叠、水平多效性与方向性混淆需逐项核查</t>
  </si>
  <si>
    <t xml:space="preserve">B14</t>
  </si>
  <si>
    <t xml:space="preserve">复杂网络（心理）</t>
  </si>
  <si>
    <t xml:space="preserve">心理量表/行为指标复杂网络构建与分析</t>
  </si>
  <si>
    <t xml:space="preserve">P2-中</t>
  </si>
  <si>
    <t xml:space="preserve">输出网络拓扑指标、节点中心性、社区结构与可视化图；支持 bootstrap 稳定性检验</t>
  </si>
  <si>
    <t xml:space="preserve">节点/边定义、缺失值处理与网络估计稳定性</t>
  </si>
  <si>
    <t xml:space="preserve">B15</t>
  </si>
  <si>
    <t xml:space="preserve">CDC WONDER</t>
  </si>
  <si>
    <t xml:space="preserve">CDC WONDER 公开死亡率/发病率数据获取与趋势分析</t>
  </si>
  <si>
    <t xml:space="preserve">完成 WONDER 数据下载、编码清洗、分层率表与趋势/地图输出</t>
  </si>
  <si>
    <t xml:space="preserve">抓取/API 限制、ICD 编码口径变更与地域分层一致性</t>
  </si>
  <si>
    <t xml:space="preserve">B16</t>
  </si>
  <si>
    <t xml:space="preserve">发病轨迹（两年）</t>
  </si>
  <si>
    <t xml:space="preserve">两年随访窗口内暴露/状态轨迹与发病结局关联</t>
  </si>
  <si>
    <t xml:space="preserve">是</t>
  </si>
  <si>
    <t xml:space="preserve">识别2年窗口轨迹组别，关联发病/转化结局并输出轨迹图与组间比较</t>
  </si>
  <si>
    <t xml:space="preserve">随访时间点不齐、流失删失与窗口边界定义</t>
  </si>
  <si>
    <t xml:space="preserve">B17</t>
  </si>
  <si>
    <t xml:space="preserve">单数据库短时间transformer</t>
  </si>
  <si>
    <t xml:space="preserve">单库短序列时序特征 Transformer 预测建模</t>
  </si>
  <si>
    <t xml:space="preserve">完成序列编码、Transformer 训练评估，输出 AUC/校准曲线与可复现 config</t>
  </si>
  <si>
    <t xml:space="preserve">序列长度不一、算力需求与黑箱可解释性</t>
  </si>
  <si>
    <t xml:space="preserve">B18</t>
  </si>
  <si>
    <t xml:space="preserve">发病前后比较</t>
  </si>
  <si>
    <t xml:space="preserve">以 index date 为中心的发病前后指标/暴露变化比较</t>
  </si>
  <si>
    <t xml:space="preserve">定义 index date 与对称窗口，输出前后配对/重复测量比较与效应量</t>
  </si>
  <si>
    <t xml:space="preserve">index date 定义主观性、前后窗口长度与混杂控制</t>
  </si>
  <si>
    <t xml:space="preserve">B19</t>
  </si>
  <si>
    <t xml:space="preserve">目标模拟临床试验</t>
  </si>
  <si>
    <t xml:space="preserve">目标试验模拟（TTE）/ 观察数据 emulate RCT</t>
  </si>
  <si>
    <t xml:space="preserve">完成 eligibility、time-zero、treatment、outcome 方案定义并可复现主效应估计</t>
  </si>
  <si>
    <t xml:space="preserve">immortal time bias、方案偏离真实试验与未测量混杂</t>
  </si>
  <si>
    <t xml:space="preserve">B20</t>
  </si>
  <si>
    <t xml:space="preserve">因果闭环（横断面研究+纵向数据分析）</t>
  </si>
  <si>
    <t xml:space="preserve">横断面关联发现 + 纵向数据验证的因果闭环分析</t>
  </si>
  <si>
    <t xml:space="preserve">横断面→纵向两阶段结果一致报告，含路径检验与敏感性分析</t>
  </si>
  <si>
    <t xml:space="preserve">两阶段样本/测量口径不一致、时序方向难确认</t>
  </si>
  <si>
    <t xml:space="preserve">B21</t>
  </si>
  <si>
    <t xml:space="preserve">深度学习多个时间点</t>
  </si>
  <si>
    <t xml:space="preserve">多时间点重复测量数据的深度学习预测</t>
  </si>
  <si>
    <t xml:space="preserve">多时点特征融合模型训练完成，输出时序预测性能与变量贡献/SHAP</t>
  </si>
  <si>
    <t xml:space="preserve">不规则采样、缺失时点多与过拟合风险</t>
  </si>
  <si>
    <t xml:space="preserve">B22</t>
  </si>
  <si>
    <t xml:space="preserve">竞争风险模型</t>
  </si>
  <si>
    <t xml:space="preserve">多结局竞争事件下的生存/发病分析</t>
  </si>
  <si>
    <t xml:space="preserve">输出累积发生率、Fine-Gray/CSH 结果与竞争风险曲线</t>
  </si>
  <si>
    <t xml:space="preserve">竞争事件定义、编码口径与删失处理</t>
  </si>
  <si>
    <t xml:space="preserve">B23</t>
  </si>
  <si>
    <t xml:space="preserve">多模态融合</t>
  </si>
  <si>
    <t xml:space="preserve">临床 + 影像/文本/检验等多模态数据融合建模</t>
  </si>
  <si>
    <t xml:space="preserve">完成模态对齐、融合模型训练与相对单模态增量价值评估</t>
  </si>
  <si>
    <t xml:space="preserve">模态缺失、样本对齐与维度灾难</t>
  </si>
  <si>
    <t xml:space="preserve">B24</t>
  </si>
  <si>
    <t xml:space="preserve">人工智能clinical summary</t>
  </si>
  <si>
    <t xml:space="preserve">LLM 生成/评估临床病例摘要与结构化总结</t>
  </si>
  <si>
    <t xml:space="preserve">P3-低</t>
  </si>
  <si>
    <t xml:space="preserve">输入脱敏病例→生成 summary，输出自动/人工评测指标与失败样例</t>
  </si>
  <si>
    <t xml:space="preserve">幻觉、隐私脱敏与评测标准不统一</t>
  </si>
  <si>
    <t xml:space="preserve">B25</t>
  </si>
  <si>
    <t xml:space="preserve">结构方程</t>
  </si>
  <si>
    <t xml:space="preserve">SEM 路径分析/潜变量结构检验</t>
  </si>
  <si>
    <t xml:space="preserve">输出路径系数、拟合指数、中介/调节分解与路径图</t>
  </si>
  <si>
    <t xml:space="preserve">模型识别、样本量不足与分布假设</t>
  </si>
  <si>
    <t xml:space="preserve">B26</t>
  </si>
  <si>
    <t xml:space="preserve">人工智能问答对</t>
  </si>
  <si>
    <t xml:space="preserve">医学 QA 数据集构建与模型微调/评测</t>
  </si>
  <si>
    <t xml:space="preserve">完成 QA 规范、训练/评测流程与准确率/一致性报告</t>
  </si>
  <si>
    <t xml:space="preserve">数据质量、版权合规与评测偏差</t>
  </si>
  <si>
    <t xml:space="preserve">B27</t>
  </si>
  <si>
    <t xml:space="preserve">链式中介</t>
  </si>
  <si>
    <t xml:space="preserve">多步/链式中介效应估计与分解</t>
  </si>
  <si>
    <t xml:space="preserve">输出链式 indirect effect、Bootstrap 置信区间与路径图</t>
  </si>
  <si>
    <t xml:space="preserve">步骤间共线、路径顺序假设与估计稳定性</t>
  </si>
  <si>
    <t xml:space="preserve">B28</t>
  </si>
  <si>
    <t xml:space="preserve">因果森林轨迹</t>
  </si>
  <si>
    <t xml:space="preserve">因果森林估计 CATE，结合轨迹/亚组异质性分析</t>
  </si>
  <si>
    <t xml:space="preserve">输出 CATE、亚组/轨迹分层效应、变量重要性与稳定性检验</t>
  </si>
  <si>
    <t xml:space="preserve">混杂控制、因果森林过拟合与结果可解释性</t>
  </si>
  <si>
    <t xml:space="preserve">B29</t>
  </si>
  <si>
    <t xml:space="preserve">复杂网络的网络温度</t>
  </si>
  <si>
    <t xml:space="preserve">复杂网络温度/动态网络稳定性指标与结局关联</t>
  </si>
  <si>
    <t xml:space="preserve">定义并计算网络温度指标，关联暴露/结局并输出可视化与敏感性分析</t>
  </si>
  <si>
    <t xml:space="preserve">指标定义文献依据、时间窗口选择与网络估计波动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</si>
</sst>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m\-dd"/>
  </numFmts>
  <fonts count="14">
    <font>
      <sz val="11"/>
      <name val="Carlito"/>
    </font>
    <font>
      <sz val="11"/>
      <color rgb="FFFFFFFF"/>
      <name val="Carlito"/>
      <b/>
    </font>
    <font>
      <sz val="10"/>
      <color rgb="#000000"/>
      <name val="Carlito"/>
    </font>
    <font>
      <sz val="10"/>
      <color rgb="#000000"/>
      <name val="Microsoft YaHei"/>
    </font>
    <font>
      <sz val="10"/>
      <color rgb="#000000"/>
      <name val="微软雅黑"/>
    </font>
    <font>
      <sz val="16"/>
      <color rgb="FFFFFFFF"/>
      <name val="Microsoft YaHei"/>
      <b/>
    </font>
    <font>
      <sz val="11"/>
      <color rgb="FF1F4E79"/>
      <name val="Carlito"/>
      <b/>
    </font>
    <font>
      <sz val="11"/>
      <color rgb="#000000"/>
      <name val="微软雅黑"/>
    </font>
    <font>
      <sz val="11"/>
      <color rgb="#000000"/>
      <name val="Carlito"/>
    </font>
    <font>
      <sz val="20"/>
      <color rgb="FF1F4E79"/>
      <name val="Carlito"/>
      <b/>
    </font>
    <font>
      <sz val="18"/>
      <color rgb="#000000"/>
      <name val="Carlito"/>
      <b/>
    </font>
    <font>
      <sz val="15"/>
      <color rgb="FFFFFFFF"/>
      <name val="Microsoft YaHei"/>
      <b/>
    </font>
    <font>
      <sz val="10"/>
      <color rgb="FFFFFFFF"/>
      <name val="Microsoft YaHei"/>
      <b/>
    </font>
    <font>
      <sz val="14"/>
      <color rgb="FFFFFFFF"/>
      <name val="Microsoft YaHei"/>
      <b/>
    </font>
  </fonts>
  <fills count="8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2F6FA"/>
      </patternFill>
    </fill>
    <fill>
      <patternFill patternType="solid">
        <fgColor rgb="FFA9D18E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2" fillId="0" borderId="0" xfId="0" applyFont="1" applyNumberFormat="1" applyAlignment="1">
      <alignment vertical="top" wrapText="1"/>
    </xf>
    <xf numFmtId="9" fontId="2" fillId="0" borderId="0" xfId="0" applyFont="1" applyNumberForma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vertical="top" wrapText="1"/>
    </xf>
    <xf numFmtId="176" fontId="2" fillId="0" borderId="0" xfId="0" applyFont="1" applyNumberFormat="1" applyAlignment="1">
      <alignment vertical="top" wrapText="1"/>
    </xf>
    <xf numFmtId="0" fontId="6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9" fontId="9" fillId="5" borderId="0" xfId="0" applyFont="1" applyNumberForma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9" fontId="8" fillId="0" borderId="0" xfId="0" applyFont="1" applyNumberFormat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76" fontId="8" fillId="0" borderId="0" xfId="0" applyFont="1" applyNumberFormat="1" applyAlignment="1">
      <alignment vertical="center" wrapText="1"/>
    </xf>
    <xf numFmtId="1" fontId="8" fillId="0" borderId="0" xfId="0" applyFont="1" applyNumberForma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177" fontId="8" fillId="0" borderId="0" xfId="0" applyFont="1" applyNumberFormat="1"/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11" fillId="3" borderId="0" xfId="0" applyFont="1" applyFill="1" applyAlignment="1">
      <alignment horizontal="center"/>
    </xf>
    <xf numFmtId="0" fontId="6" fillId="4" borderId="0" xfId="0" applyFont="1" applyFill="1"/>
    <xf numFmtId="176" fontId="8" fillId="0" borderId="0" xfId="0" applyFont="1" applyNumberFormat="1" applyAlignment="1">
      <alignment wrapText="1"/>
    </xf>
    <xf numFmtId="0" fontId="1" fillId="7" borderId="0" xfId="0" applyFont="1" applyFill="1" applyAlignment="1">
      <alignment horizontal="center" wrapText="1"/>
    </xf>
    <xf numFmtId="0" fontId="12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6" fillId="4" borderId="0" xfId="0" applyFont="1" applyFill="1" applyAlignment="1">
      <alignment wrapText="1"/>
    </xf>
    <xf numFmtId="9" fontId="8" fillId="0" borderId="0" xfId="0" applyFont="1" applyNumberFormat="1" applyAlignment="1">
      <alignment wrapText="1"/>
    </xf>
  </cellXfs>
  <cellStyles count="1">
    <cellStyle name="Normal" xfId="0" builtinId="0"/>
  </cellStyles>
  <dxfs count="17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5B9BD5"/>
      </font>
      <fill>
        <patternFill patternType="solid">
          <bgColor rgb="FF5B9BD5"/>
        </patternFill>
      </fill>
    </dxf>
    <dxf>
      <font>
        <color rgb="FF666666"/>
      </font>
      <fill>
        <patternFill patternType="solid">
          <bgColor rgb="FFF3F3F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color rgb="FF666666"/>
      </font>
      <fill>
        <patternFill patternType="solid">
          <bgColor rgb="FFF3F3F3"/>
        </patternFill>
      </fill>
    </dxf>
    <dxf>
      <font>
        <b/>
        <color rgb="FF1F4E79"/>
      </font>
      <fill>
        <patternFill patternType="solid">
          <bgColor rgb="FFD9EA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B45F06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计划看板!$A$12:$A$18</c:f>
              <c:strCache>
                <c:ptCount val="7"/>
                <c:pt idx="0">
                  <c:v>未开始</c:v>
                </c:pt>
                <c:pt idx="1">
                  <c:v>需求确认</c:v>
                </c:pt>
                <c:pt idx="2">
                  <c:v>开发中</c:v>
                </c:pt>
                <c:pt idx="3">
                  <c:v>测试中</c:v>
                </c:pt>
                <c:pt idx="4">
                  <c:v>待复盘</c:v>
                </c:pt>
                <c:pt idx="5">
                  <c:v>已完成</c:v>
                </c:pt>
                <c:pt idx="6">
                  <c:v>暂停</c:v>
                </c:pt>
              </c:strCache>
            </c:strRef>
          </c:cat>
          <c:val>
            <c:numRef>
              <c:f>计划看板!$B$12:$B$18</c:f>
              <c:numCache>
                <c:formatCode>General</c:formatCode>
                <c:ptCount val="7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3-42ED-AD24-BD75DED42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invertIfNegative val="1"/>
          <c:cat>
            <c:strRef>
              <c:f>计划看板!$E$12:$E$15</c:f>
              <c:strCache>
                <c:ptCount val="4"/>
                <c:pt idx="0">
                  <c:v>P0-最高</c:v>
                </c:pt>
                <c:pt idx="1">
                  <c:v>P1-高</c:v>
                </c:pt>
                <c:pt idx="2">
                  <c:v>P2-中</c:v>
                </c:pt>
                <c:pt idx="3">
                  <c:v>P3-低</c:v>
                </c:pt>
              </c:strCache>
            </c:strRef>
          </c:cat>
          <c:val>
            <c:numRef>
              <c:f>计划看板!$F$12:$F$15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F-4F4C-844F-0DC649FE9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8</xdr:col>
      <xdr:colOff>0</xdr:colOff>
      <xdr:row>10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lockPlanTable" displayName="BlockPlanTable" ref="A4:O33">
  <tableColumns count="15">
    <tableColumn id="1" xr3:uid="{00000000-0010-0000-0000-000001000000}" name="编号"/>
    <tableColumn id="2" xr3:uid="{00000000-0010-0000-0000-000002000000}" name="工作模块"/>
    <tableColumn id="3" xr3:uid="{00000000-0010-0000-0000-000003000000}" name="研究场景"/>
    <tableColumn id="4" xr3:uid="{00000000-0010-0000-0000-000004000000}" name="是否已做Block"/>
    <tableColumn id="5" xr3:uid="{00000000-0010-0000-0000-000005000000}" name="优先级"/>
    <tableColumn id="6" xr3:uid="{00000000-0010-0000-0000-000006000000}" name="状态"/>
    <tableColumn id="7" xr3:uid="{00000000-0010-0000-0000-000007000000}" name="当前阶段"/>
    <tableColumn id="8" xr3:uid="{00000000-0010-0000-0000-000008000000}" name="负责人"/>
    <tableColumn id="9" xr3:uid="{00000000-0010-0000-0000-000009000000}" name="计划开始"/>
    <tableColumn id="10" xr3:uid="{00000000-0010-0000-0000-00000A000000}" name="计划完成"/>
    <tableColumn id="11" xr3:uid="{00000000-0010-0000-0000-00000B000000}" name="剩余天数"/>
    <tableColumn id="12" xr3:uid="{00000000-0010-0000-0000-00000C000000}" name="进度"/>
    <tableColumn id="16" xr3:uid="{00000000-0010-0000-0000-000010000000}" name="验收标准"/>
    <tableColumn id="17" xr3:uid="{00000000-0010-0000-0000-000011000000}" name="风险/卡点"/>
    <tableColumn id="18" xr3:uid="{00000000-0010-0000-0000-000012000000}" name="复盘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8" workbookViewId="0">
      <selection activeCell="B17" sqref="B17:B31"/>
    </sheetView>
  </sheetViews>
  <sheetFormatPr defaultRowHeight="15.0" baseColWidth="10"/>
  <cols>
    <col min="1" max="1" width="8" hidden="0" customWidth="1"/>
    <col min="2" max="2" width="16" hidden="0" customWidth="1"/>
    <col min="3" max="3" width="24" hidden="0" customWidth="1"/>
    <col min="4" max="4" width="12" hidden="0" customWidth="1"/>
    <col min="5" max="5" width="12" hidden="0" customWidth="1"/>
    <col min="6" max="6" width="12" hidden="0" customWidth="1"/>
    <col min="7" max="7" width="14" hidden="0" customWidth="1"/>
    <col min="8" max="8" width="10" hidden="0" customWidth="1"/>
    <col min="9" max="9" width="12" hidden="0" customWidth="1"/>
    <col min="10" max="10" width="12" hidden="0" customWidth="1"/>
    <col min="11" max="11" width="10" hidden="0" customWidth="1"/>
    <col min="12" max="12" width="10" hidden="0" customWidth="1"/>
    <col min="13" max="13" width="34" hidden="0" customWidth="1"/>
    <col min="14" max="14" width="30" hidden="0" customWidth="1"/>
    <col min="15" max="15" width="26" hidden="0" customWidth="1"/>
  </cols>
  <sheetData>
    <row r="1" ht="30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4"/>
      <c r="Q1" s="4"/>
      <c r="R1" s="4"/>
      <c r="S1" s="4"/>
      <c r="T1" s="4"/>
      <c r="U1" s="4"/>
      <c r="V1" s="4"/>
      <c r="W1" s="4"/>
    </row>
    <row r="2" ht="27.9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ht="26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17</v>
      </c>
      <c r="N4" s="1" t="s">
        <v>18</v>
      </c>
      <c r="O4" s="1" t="s">
        <v>19</v>
      </c>
    </row>
    <row r="5" ht="56.1" customHeight="1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96</v>
      </c>
      <c r="G5" s="10" t="s">
        <v>53</v>
      </c>
      <c r="H5" s="5" t="s">
        <v>269</v>
      </c>
      <c r="I5" s="11"/>
      <c r="J5" s="11"/>
      <c r="K5" s="2" t="n">
        <f t="shared" ref="K5:K16" ca="1" si="0">IF(F5="已完成",0,IF(J5="","",J5-TODAY()))</f>
        <v>0</v>
      </c>
      <c r="L5" s="3" t="n">
        <f t="shared" ref="L5:L16" si="1">IF(F5="已完成",1,IF(F5="待复盘",0.85,IF(F5="测试中",0.7,IF(F5="开发中",0.45,IF(F5="需求确认",0.15,0)))))</f>
        <v>1</v>
      </c>
      <c r="M5" s="10" t="s">
        <v>28</v>
      </c>
      <c r="N5" s="10" t="s">
        <v>29</v>
      </c>
      <c r="O5" s="10"/>
    </row>
    <row r="6" ht="56.1" customHeight="1">
      <c r="A6" s="10" t="s">
        <v>30</v>
      </c>
      <c r="B6" s="10" t="s">
        <v>31</v>
      </c>
      <c r="C6" s="10" t="s">
        <v>32</v>
      </c>
      <c r="D6" s="10" t="s">
        <v>23</v>
      </c>
      <c r="E6" s="10" t="s">
        <v>24</v>
      </c>
      <c r="F6" s="10" t="s">
        <v>46</v>
      </c>
      <c r="G6" s="10" t="s">
        <v>38</v>
      </c>
      <c r="H6" s="5" t="s">
        <v>269</v>
      </c>
      <c r="I6" s="11" t="n">
        <v>46196</v>
      </c>
      <c r="J6" s="11" t="n">
        <v>46196</v>
      </c>
      <c r="K6" s="2" t="n">
        <f t="shared" ca="1" si="0"/>
        <v>1</v>
      </c>
      <c r="L6" s="3" t="n">
        <f t="shared" si="1"/>
        <v>0</v>
      </c>
      <c r="M6" s="10" t="s">
        <v>33</v>
      </c>
      <c r="N6" s="10" t="s">
        <v>34</v>
      </c>
      <c r="O6" s="10"/>
    </row>
    <row r="7" ht="56.1" customHeight="1">
      <c r="A7" s="10" t="s">
        <v>35</v>
      </c>
      <c r="B7" s="10" t="s">
        <v>36</v>
      </c>
      <c r="C7" s="10" t="s">
        <v>37</v>
      </c>
      <c r="D7" s="10" t="s">
        <v>23</v>
      </c>
      <c r="E7" s="10" t="s">
        <v>24</v>
      </c>
      <c r="F7" s="10" t="s">
        <v>46</v>
      </c>
      <c r="G7" s="10" t="s">
        <v>38</v>
      </c>
      <c r="H7" s="5" t="s">
        <v>269</v>
      </c>
      <c r="I7" s="11" t="n">
        <v>46197</v>
      </c>
      <c r="J7" s="11" t="n">
        <v>46197</v>
      </c>
      <c r="K7" s="2" t="n">
        <f t="shared" ca="1" si="0"/>
        <v>2</v>
      </c>
      <c r="L7" s="3" t="n">
        <f t="shared" si="1"/>
        <v>0</v>
      </c>
      <c r="M7" s="10" t="s">
        <v>39</v>
      </c>
      <c r="N7" s="10" t="s">
        <v>40</v>
      </c>
      <c r="O7" s="10"/>
    </row>
    <row r="8" ht="56.1" customHeight="1">
      <c r="A8" s="10" t="s">
        <v>41</v>
      </c>
      <c r="B8" s="10" t="s">
        <v>42</v>
      </c>
      <c r="C8" s="10" t="s">
        <v>43</v>
      </c>
      <c r="D8" s="10" t="s">
        <v>44</v>
      </c>
      <c r="E8" s="10" t="s">
        <v>24</v>
      </c>
      <c r="F8" s="10" t="s">
        <v>46</v>
      </c>
      <c r="G8" s="10" t="s">
        <v>38</v>
      </c>
      <c r="H8" s="5" t="s">
        <v>269</v>
      </c>
      <c r="I8" s="11" t="n">
        <v>46195</v>
      </c>
      <c r="J8" s="11" t="n">
        <v>46195</v>
      </c>
      <c r="K8" s="2" t="n">
        <f t="shared" ca="1" si="0"/>
        <v>0</v>
      </c>
      <c r="L8" s="3" t="n">
        <f t="shared" si="1"/>
        <v>0</v>
      </c>
      <c r="M8" s="10" t="s">
        <v>47</v>
      </c>
      <c r="N8" s="10" t="s">
        <v>48</v>
      </c>
      <c r="O8" s="10"/>
    </row>
    <row r="9" ht="56.1" customHeight="1">
      <c r="A9" s="10" t="s">
        <v>49</v>
      </c>
      <c r="B9" s="5" t="s">
        <v>272</v>
      </c>
      <c r="C9" s="10" t="s">
        <v>51</v>
      </c>
      <c r="D9" s="10" t="s">
        <v>23</v>
      </c>
      <c r="E9" s="10" t="s">
        <v>24</v>
      </c>
      <c r="F9" s="10" t="s">
        <v>46</v>
      </c>
      <c r="G9" s="10" t="s">
        <v>38</v>
      </c>
      <c r="H9" s="5" t="s">
        <v>269</v>
      </c>
      <c r="I9" s="11" t="n">
        <v>46198</v>
      </c>
      <c r="J9" s="11" t="n">
        <v>46198</v>
      </c>
      <c r="K9" s="2" t="n">
        <f t="shared" ca="1" si="0"/>
        <v>3</v>
      </c>
      <c r="L9" s="3" t="n">
        <f t="shared" si="1"/>
        <v>0</v>
      </c>
      <c r="M9" s="10" t="s">
        <v>54</v>
      </c>
      <c r="N9" s="10" t="s">
        <v>55</v>
      </c>
      <c r="O9" s="10"/>
    </row>
    <row r="10" ht="56.1" customHeight="1">
      <c r="A10" s="10" t="s">
        <v>56</v>
      </c>
      <c r="B10" s="10" t="s">
        <v>57</v>
      </c>
      <c r="C10" s="10" t="s">
        <v>58</v>
      </c>
      <c r="D10" s="10" t="s">
        <v>44</v>
      </c>
      <c r="E10" s="10" t="s">
        <v>59</v>
      </c>
      <c r="F10" s="10" t="s">
        <v>46</v>
      </c>
      <c r="G10" s="10" t="s">
        <v>38</v>
      </c>
      <c r="H10" s="5" t="s">
        <v>269</v>
      </c>
      <c r="I10" s="11"/>
      <c r="J10" s="11" t="n">
        <v>46199</v>
      </c>
      <c r="K10" s="2" t="n">
        <f t="shared" ca="1" si="0"/>
        <v>4</v>
      </c>
      <c r="L10" s="3" t="n">
        <f t="shared" si="1"/>
        <v>0</v>
      </c>
      <c r="M10" s="10" t="s">
        <v>60</v>
      </c>
      <c r="N10" s="10" t="s">
        <v>61</v>
      </c>
      <c r="O10" s="10"/>
    </row>
    <row r="11" ht="56.1" customHeight="1">
      <c r="A11" s="10" t="s">
        <v>62</v>
      </c>
      <c r="B11" s="10" t="s">
        <v>63</v>
      </c>
      <c r="C11" s="10" t="s">
        <v>64</v>
      </c>
      <c r="D11" s="10" t="s">
        <v>23</v>
      </c>
      <c r="E11" s="10" t="s">
        <v>45</v>
      </c>
      <c r="F11" s="10" t="s">
        <v>46</v>
      </c>
      <c r="G11" s="10" t="s">
        <v>38</v>
      </c>
      <c r="H11" s="5" t="s">
        <v>269</v>
      </c>
      <c r="I11" s="11"/>
      <c r="J11" s="11" t="n">
        <v>46202</v>
      </c>
      <c r="K11" s="2" t="n">
        <f t="shared" ca="1" si="0"/>
        <v>7</v>
      </c>
      <c r="L11" s="3" t="n">
        <f t="shared" si="1"/>
        <v>0</v>
      </c>
      <c r="M11" s="10" t="s">
        <v>65</v>
      </c>
      <c r="N11" s="10" t="s">
        <v>66</v>
      </c>
      <c r="O11" s="10"/>
    </row>
    <row r="12" ht="56.1" customHeight="1">
      <c r="A12" s="10" t="s">
        <v>67</v>
      </c>
      <c r="B12" s="10" t="s">
        <v>68</v>
      </c>
      <c r="C12" s="10" t="s">
        <v>69</v>
      </c>
      <c r="D12" s="10" t="s">
        <v>23</v>
      </c>
      <c r="E12" s="10" t="s">
        <v>45</v>
      </c>
      <c r="F12" s="10" t="s">
        <v>46</v>
      </c>
      <c r="G12" s="10" t="s">
        <v>38</v>
      </c>
      <c r="H12" s="5" t="s">
        <v>269</v>
      </c>
      <c r="I12" s="11"/>
      <c r="J12" s="11" t="n">
        <v>46203</v>
      </c>
      <c r="K12" s="2" t="n">
        <f t="shared" ca="1" si="0"/>
        <v>8</v>
      </c>
      <c r="L12" s="3" t="n">
        <f t="shared" si="1"/>
        <v>0</v>
      </c>
      <c r="M12" s="10" t="s">
        <v>70</v>
      </c>
      <c r="N12" s="10" t="s">
        <v>71</v>
      </c>
      <c r="O12" s="10"/>
    </row>
    <row r="13" ht="56.1" customHeight="1">
      <c r="A13" s="10" t="s">
        <v>72</v>
      </c>
      <c r="B13" s="10" t="s">
        <v>73</v>
      </c>
      <c r="C13" s="10" t="s">
        <v>74</v>
      </c>
      <c r="D13" s="10" t="s">
        <v>44</v>
      </c>
      <c r="E13" s="10" t="s">
        <v>59</v>
      </c>
      <c r="F13" s="10" t="s">
        <v>46</v>
      </c>
      <c r="G13" s="10" t="s">
        <v>38</v>
      </c>
      <c r="H13" s="5" t="s">
        <v>269</v>
      </c>
      <c r="I13" s="11"/>
      <c r="J13" s="11" t="n">
        <v>46204</v>
      </c>
      <c r="K13" s="2" t="n">
        <f t="shared" ca="1" si="0"/>
        <v>9</v>
      </c>
      <c r="L13" s="3" t="n">
        <f t="shared" si="1"/>
        <v>0</v>
      </c>
      <c r="M13" s="10" t="s">
        <v>75</v>
      </c>
      <c r="N13" s="10" t="s">
        <v>76</v>
      </c>
      <c r="O13" s="10"/>
    </row>
    <row r="14" ht="56.1" customHeight="1">
      <c r="A14" s="10" t="s">
        <v>77</v>
      </c>
      <c r="B14" s="10" t="s">
        <v>78</v>
      </c>
      <c r="C14" s="10" t="s">
        <v>79</v>
      </c>
      <c r="D14" s="10" t="s">
        <v>44</v>
      </c>
      <c r="E14" s="10" t="s">
        <v>59</v>
      </c>
      <c r="F14" s="10" t="s">
        <v>46</v>
      </c>
      <c r="G14" s="10" t="s">
        <v>38</v>
      </c>
      <c r="H14" s="5" t="s">
        <v>269</v>
      </c>
      <c r="I14" s="11"/>
      <c r="J14" s="11" t="n">
        <v>46205</v>
      </c>
      <c r="K14" s="2" t="n">
        <f t="shared" ca="1" si="0"/>
        <v>10</v>
      </c>
      <c r="L14" s="3" t="n">
        <f t="shared" si="1"/>
        <v>0</v>
      </c>
      <c r="M14" s="10" t="s">
        <v>80</v>
      </c>
      <c r="N14" s="10" t="s">
        <v>81</v>
      </c>
      <c r="O14" s="10"/>
    </row>
    <row r="15" ht="56.1" customHeight="1">
      <c r="A15" s="10" t="s">
        <v>305</v>
      </c>
      <c r="B15" s="10" t="s">
        <v>306</v>
      </c>
      <c r="C15" s="10" t="s">
        <v>307</v>
      </c>
      <c r="D15" s="10" t="s">
        <v>308</v>
      </c>
      <c r="E15" s="10" t="s">
        <v>309</v>
      </c>
      <c r="F15" s="10" t="s">
        <v>310</v>
      </c>
      <c r="G15" s="10" t="s">
        <v>311</v>
      </c>
      <c r="H15" s="5" t="s">
        <v>312</v>
      </c>
      <c r="I15" s="11"/>
      <c r="J15" s="11"/>
      <c r="K15" s="2"/>
      <c r="L15" s="3" t="n">
        <v>0</v>
      </c>
      <c r="M15" s="10" t="s">
        <v>313</v>
      </c>
      <c r="N15" s="10" t="s">
        <v>314</v>
      </c>
      <c r="O15" s="10"/>
    </row>
    <row r="16" ht="25.5" customHeight="1">
      <c r="A16" s="10" t="s">
        <v>315</v>
      </c>
      <c r="B16" s="10" t="s">
        <v>316</v>
      </c>
      <c r="C16" s="10" t="s">
        <v>317</v>
      </c>
      <c r="D16" s="10" t="s">
        <v>308</v>
      </c>
      <c r="E16" s="10" t="s">
        <v>318</v>
      </c>
      <c r="F16" s="10" t="s">
        <v>310</v>
      </c>
      <c r="G16" s="10" t="s">
        <v>311</v>
      </c>
      <c r="H16" s="5" t="s">
        <v>312</v>
      </c>
      <c r="I16" s="11"/>
      <c r="J16" s="11"/>
      <c r="K16" s="2"/>
      <c r="L16" s="3" t="n">
        <v>0</v>
      </c>
      <c r="M16" s="10" t="s">
        <v>319</v>
      </c>
      <c r="N16" s="10" t="s">
        <v>320</v>
      </c>
      <c r="O16" s="10"/>
    </row>
    <row r="17" ht="16.5" customHeight="1">
      <c r="A17" s="10" t="s">
        <v>321</v>
      </c>
      <c r="B17" s="8" t="s">
        <v>322</v>
      </c>
      <c r="C17" t="s">
        <v>323</v>
      </c>
      <c r="D17" t="s">
        <v>308</v>
      </c>
      <c r="E17" t="s">
        <v>318</v>
      </c>
      <c r="F17" t="s">
        <v>310</v>
      </c>
      <c r="G17" t="s">
        <v>311</v>
      </c>
      <c r="H17" t="s">
        <v>312</v>
      </c>
      <c r="I17"/>
      <c r="J17"/>
      <c r="K17"/>
      <c r="L17" t="n">
        <v>0</v>
      </c>
      <c r="M17" t="s">
        <v>324</v>
      </c>
      <c r="N17" t="s">
        <v>325</v>
      </c>
      <c r="O17"/>
    </row>
    <row r="18" ht="16.5" customHeight="1">
      <c r="A18" s="10" t="s">
        <v>326</v>
      </c>
      <c r="B18" s="9" t="s">
        <v>327</v>
      </c>
      <c r="C18" t="s">
        <v>328</v>
      </c>
      <c r="D18" t="s">
        <v>329</v>
      </c>
      <c r="E18" t="s">
        <v>309</v>
      </c>
      <c r="F18" t="s">
        <v>310</v>
      </c>
      <c r="G18" t="s">
        <v>311</v>
      </c>
      <c r="H18" t="s">
        <v>312</v>
      </c>
      <c r="I18"/>
      <c r="J18"/>
      <c r="K18"/>
      <c r="L18" t="n">
        <v>0</v>
      </c>
      <c r="M18" t="s">
        <v>330</v>
      </c>
      <c r="N18" t="s">
        <v>331</v>
      </c>
      <c r="O18"/>
    </row>
    <row r="19">
      <c r="A19" s="10" t="s">
        <v>332</v>
      </c>
      <c r="B19" t="s">
        <v>333</v>
      </c>
      <c r="C19" t="s">
        <v>334</v>
      </c>
      <c r="D19" t="s">
        <v>308</v>
      </c>
      <c r="E19" t="s">
        <v>318</v>
      </c>
      <c r="F19" t="s">
        <v>310</v>
      </c>
      <c r="G19" t="s">
        <v>311</v>
      </c>
      <c r="H19" t="s">
        <v>312</v>
      </c>
      <c r="I19"/>
      <c r="J19"/>
      <c r="K19"/>
      <c r="L19" t="n">
        <v>0</v>
      </c>
      <c r="M19" t="s">
        <v>335</v>
      </c>
      <c r="N19" t="s">
        <v>336</v>
      </c>
      <c r="O19"/>
    </row>
    <row r="20" ht="16.5" customHeight="1">
      <c r="A20" s="10" t="s">
        <v>337</v>
      </c>
      <c r="B20" s="8" t="s">
        <v>338</v>
      </c>
      <c r="C20" t="s">
        <v>339</v>
      </c>
      <c r="D20" t="s">
        <v>308</v>
      </c>
      <c r="E20" t="s">
        <v>318</v>
      </c>
      <c r="F20" t="s">
        <v>310</v>
      </c>
      <c r="G20" t="s">
        <v>311</v>
      </c>
      <c r="H20" t="s">
        <v>312</v>
      </c>
      <c r="I20"/>
      <c r="J20"/>
      <c r="K20"/>
      <c r="L20" t="n">
        <v>0</v>
      </c>
      <c r="M20" t="s">
        <v>340</v>
      </c>
      <c r="N20" t="s">
        <v>341</v>
      </c>
      <c r="O20"/>
    </row>
    <row r="21" ht="16.5" customHeight="1">
      <c r="A21" s="10" t="s">
        <v>342</v>
      </c>
      <c r="B21" s="9" t="s">
        <v>343</v>
      </c>
      <c r="C21" t="s">
        <v>344</v>
      </c>
      <c r="D21" t="s">
        <v>308</v>
      </c>
      <c r="E21" t="s">
        <v>309</v>
      </c>
      <c r="F21" t="s">
        <v>310</v>
      </c>
      <c r="G21" t="s">
        <v>311</v>
      </c>
      <c r="H21" t="s">
        <v>312</v>
      </c>
      <c r="I21"/>
      <c r="J21"/>
      <c r="K21"/>
      <c r="L21" t="n">
        <v>0</v>
      </c>
      <c r="M21" t="s">
        <v>345</v>
      </c>
      <c r="N21" t="s">
        <v>346</v>
      </c>
      <c r="O21"/>
    </row>
    <row r="22">
      <c r="A22" s="10" t="s">
        <v>347</v>
      </c>
      <c r="B22" t="s">
        <v>348</v>
      </c>
      <c r="C22" t="s">
        <v>349</v>
      </c>
      <c r="D22" t="s">
        <v>308</v>
      </c>
      <c r="E22" t="s">
        <v>318</v>
      </c>
      <c r="F22" t="s">
        <v>310</v>
      </c>
      <c r="G22" t="s">
        <v>311</v>
      </c>
      <c r="H22" t="s">
        <v>312</v>
      </c>
      <c r="I22"/>
      <c r="J22"/>
      <c r="K22"/>
      <c r="L22" t="n">
        <v>0</v>
      </c>
      <c r="M22" t="s">
        <v>350</v>
      </c>
      <c r="N22" t="s">
        <v>351</v>
      </c>
      <c r="O22"/>
    </row>
    <row r="23">
      <c r="A23" s="10" t="s">
        <v>352</v>
      </c>
      <c r="B23" t="s">
        <v>353</v>
      </c>
      <c r="C23" t="s">
        <v>354</v>
      </c>
      <c r="D23" t="s">
        <v>308</v>
      </c>
      <c r="E23" t="s">
        <v>318</v>
      </c>
      <c r="F23" t="s">
        <v>310</v>
      </c>
      <c r="G23" t="s">
        <v>311</v>
      </c>
      <c r="H23" t="s">
        <v>312</v>
      </c>
      <c r="I23"/>
      <c r="J23"/>
      <c r="K23"/>
      <c r="L23" t="n">
        <v>0</v>
      </c>
      <c r="M23" t="s">
        <v>355</v>
      </c>
      <c r="N23" t="s">
        <v>356</v>
      </c>
      <c r="O23"/>
    </row>
    <row r="24" ht="16.5" customHeight="1">
      <c r="A24" s="10" t="s">
        <v>357</v>
      </c>
      <c r="B24" s="8" t="s">
        <v>358</v>
      </c>
      <c r="C24" t="s">
        <v>359</v>
      </c>
      <c r="D24" t="s">
        <v>308</v>
      </c>
      <c r="E24" t="s">
        <v>309</v>
      </c>
      <c r="F24" t="s">
        <v>310</v>
      </c>
      <c r="G24" t="s">
        <v>311</v>
      </c>
      <c r="H24" t="s">
        <v>312</v>
      </c>
      <c r="I24"/>
      <c r="J24"/>
      <c r="K24"/>
      <c r="L24" t="n">
        <v>0</v>
      </c>
      <c r="M24" t="s">
        <v>360</v>
      </c>
      <c r="N24" t="s">
        <v>361</v>
      </c>
      <c r="O24"/>
    </row>
    <row r="25">
      <c r="A25" s="10" t="s">
        <v>362</v>
      </c>
      <c r="B25" t="s">
        <v>363</v>
      </c>
      <c r="C25" t="s">
        <v>364</v>
      </c>
      <c r="D25" t="s">
        <v>308</v>
      </c>
      <c r="E25" t="s">
        <v>318</v>
      </c>
      <c r="F25" t="s">
        <v>310</v>
      </c>
      <c r="G25" t="s">
        <v>311</v>
      </c>
      <c r="H25" t="s">
        <v>312</v>
      </c>
      <c r="I25"/>
      <c r="J25"/>
      <c r="K25"/>
      <c r="L25" t="n">
        <v>0</v>
      </c>
      <c r="M25" t="s">
        <v>365</v>
      </c>
      <c r="N25" t="s">
        <v>366</v>
      </c>
      <c r="O25"/>
    </row>
    <row r="26">
      <c r="A26" s="10" t="s">
        <v>367</v>
      </c>
      <c r="B26" t="s">
        <v>368</v>
      </c>
      <c r="C26" t="s">
        <v>369</v>
      </c>
      <c r="D26" t="s">
        <v>308</v>
      </c>
      <c r="E26" t="s">
        <v>370</v>
      </c>
      <c r="F26" t="s">
        <v>310</v>
      </c>
      <c r="G26" t="s">
        <v>311</v>
      </c>
      <c r="H26" t="s">
        <v>312</v>
      </c>
      <c r="I26"/>
      <c r="J26"/>
      <c r="K26"/>
      <c r="L26" t="n">
        <v>0</v>
      </c>
      <c r="M26" t="s">
        <v>371</v>
      </c>
      <c r="N26" t="s">
        <v>372</v>
      </c>
      <c r="O26"/>
    </row>
    <row r="27">
      <c r="A27" s="10" t="s">
        <v>373</v>
      </c>
      <c r="B27" t="s">
        <v>374</v>
      </c>
      <c r="C27" t="s">
        <v>375</v>
      </c>
      <c r="D27" t="s">
        <v>308</v>
      </c>
      <c r="E27" t="s">
        <v>318</v>
      </c>
      <c r="F27" t="s">
        <v>310</v>
      </c>
      <c r="G27" t="s">
        <v>311</v>
      </c>
      <c r="H27" t="s">
        <v>312</v>
      </c>
      <c r="I27"/>
      <c r="J27"/>
      <c r="K27"/>
      <c r="L27" t="n">
        <v>0</v>
      </c>
      <c r="M27" t="s">
        <v>376</v>
      </c>
      <c r="N27" t="s">
        <v>377</v>
      </c>
      <c r="O27"/>
    </row>
    <row r="28">
      <c r="A28" s="10" t="s">
        <v>378</v>
      </c>
      <c r="B28" t="s">
        <v>379</v>
      </c>
      <c r="C28" t="s">
        <v>380</v>
      </c>
      <c r="D28" t="s">
        <v>308</v>
      </c>
      <c r="E28" t="s">
        <v>370</v>
      </c>
      <c r="F28" t="s">
        <v>310</v>
      </c>
      <c r="G28" t="s">
        <v>311</v>
      </c>
      <c r="H28" t="s">
        <v>312</v>
      </c>
      <c r="I28"/>
      <c r="J28"/>
      <c r="K28"/>
      <c r="L28" t="n">
        <v>0</v>
      </c>
      <c r="M28" t="s">
        <v>381</v>
      </c>
      <c r="N28" t="s">
        <v>382</v>
      </c>
      <c r="O28"/>
    </row>
    <row r="29">
      <c r="A29" s="10" t="s">
        <v>383</v>
      </c>
      <c r="B29" t="s">
        <v>384</v>
      </c>
      <c r="C29" t="s">
        <v>385</v>
      </c>
      <c r="D29" t="s">
        <v>308</v>
      </c>
      <c r="E29" t="s">
        <v>318</v>
      </c>
      <c r="F29" t="s">
        <v>310</v>
      </c>
      <c r="G29" t="s">
        <v>311</v>
      </c>
      <c r="H29" t="s">
        <v>312</v>
      </c>
      <c r="I29"/>
      <c r="J29"/>
      <c r="K29"/>
      <c r="L29" t="n">
        <v>0</v>
      </c>
      <c r="M29" t="s">
        <v>386</v>
      </c>
      <c r="N29" t="s">
        <v>387</v>
      </c>
      <c r="O29"/>
    </row>
    <row r="30">
      <c r="A30" s="10" t="s">
        <v>388</v>
      </c>
      <c r="B30" t="s">
        <v>389</v>
      </c>
      <c r="C30" t="s">
        <v>390</v>
      </c>
      <c r="D30" t="s">
        <v>308</v>
      </c>
      <c r="E30" t="s">
        <v>318</v>
      </c>
      <c r="F30" t="s">
        <v>310</v>
      </c>
      <c r="G30" t="s">
        <v>311</v>
      </c>
      <c r="H30" t="s">
        <v>312</v>
      </c>
      <c r="I30"/>
      <c r="J30"/>
      <c r="K30"/>
      <c r="L30" t="n">
        <v>0</v>
      </c>
      <c r="M30" t="s">
        <v>391</v>
      </c>
      <c r="N30" t="s">
        <v>392</v>
      </c>
      <c r="O30"/>
    </row>
    <row r="31">
      <c r="A31" s="10" t="s">
        <v>393</v>
      </c>
      <c r="B31" t="s">
        <v>394</v>
      </c>
      <c r="C31" t="s">
        <v>395</v>
      </c>
      <c r="D31" t="s">
        <v>308</v>
      </c>
      <c r="E31" t="s">
        <v>370</v>
      </c>
      <c r="F31" t="s">
        <v>310</v>
      </c>
      <c r="G31" t="s">
        <v>311</v>
      </c>
      <c r="H31" t="s">
        <v>312</v>
      </c>
      <c r="I31"/>
      <c r="J31"/>
      <c r="K31"/>
      <c r="L31" t="n">
        <v>0</v>
      </c>
      <c r="M31" t="s">
        <v>396</v>
      </c>
      <c r="N31" t="s">
        <v>397</v>
      </c>
      <c r="O31"/>
    </row>
    <row r="32">
      <c r="A32" s="10" t="s">
        <v>393</v>
      </c>
      <c r="B32" t="s">
        <v>394</v>
      </c>
      <c r="C32" t="s">
        <v>395</v>
      </c>
      <c r="D32" t="s">
        <v>308</v>
      </c>
      <c r="E32" t="s">
        <v>370</v>
      </c>
      <c r="F32" t="s">
        <v>310</v>
      </c>
      <c r="G32" t="s">
        <v>311</v>
      </c>
      <c r="H32" t="s">
        <v>312</v>
      </c>
      <c r="I32"/>
      <c r="J32"/>
      <c r="K32"/>
      <c r="L32" t="n">
        <v>0</v>
      </c>
      <c r="M32" t="s">
        <v>396</v>
      </c>
      <c r="N32" t="s">
        <v>397</v>
      </c>
      <c r="O32"/>
    </row>
    <row r="33">
      <c r="A33" s="10" t="s">
        <v>304</v>
      </c>
      <c r="B33" t="s">
        <v>298</v>
      </c>
    </row>
  </sheetData>
  <mergeCells count="2">
    <mergeCell ref="A1:O1"/>
    <mergeCell ref="A2:O2"/>
  </mergeCells>
  <conditionalFormatting sqref="E5:E100">
    <cfRule type="expression" dxfId="16" priority="5">
      <formula>LEFT(E5,2)="P0"</formula>
    </cfRule>
    <cfRule type="expression" dxfId="15" priority="6">
      <formula>LEFT(E5,2)="P1"</formula>
    </cfRule>
    <cfRule type="expression" dxfId="14" priority="7">
      <formula>LEFT(E5,2)="P2"</formula>
    </cfRule>
  </conditionalFormatting>
  <conditionalFormatting sqref="F5:F100">
    <cfRule type="expression" dxfId="13" priority="1">
      <formula>F5="已完成"</formula>
    </cfRule>
    <cfRule type="expression" dxfId="12" priority="2">
      <formula>F5="开发中"</formula>
    </cfRule>
    <cfRule type="expression" dxfId="11" priority="3">
      <formula>F5="测试中"</formula>
    </cfRule>
    <cfRule type="expression" dxfId="10" priority="4">
      <formula>F5="未开始"</formula>
    </cfRule>
  </conditionalFormatting>
  <conditionalFormatting sqref="K5:K100">
    <cfRule type="expression" dxfId="9" priority="8">
      <formula>AND($F5&lt;&gt;"已完成",$K5&lt;0)</formula>
    </cfRule>
    <cfRule type="expression" dxfId="8" priority="9">
      <formula>AND($F5&lt;&gt;"已完成",$K5&lt;=3,$K5&gt;=0)</formula>
    </cfRule>
  </conditionalFormatting>
  <conditionalFormatting sqref="L5:L100">
    <cfRule type="dataBar" priority="10">
      <dataBar>
        <cfvo type="min"/>
        <cfvo type="max"/>
        <color rgb="FF5B9BD5"/>
      </dataBar>
    </cfRule>
    <cfRule type="dataBar" priority="1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{EDC4B99D-0ADE-2349-E55B-F37F7D7E15A0}</x14:id>
        </ext>
      </extLst>
    </cfRule>
  </conditionalFormatting>
  <dataValidations count="5">
    <dataValidation type="list" sqref="D5:D100" xr:uid="{00000000-0002-0000-0000-000000000000}">
      <formula1>"是,否,部分"</formula1>
    </dataValidation>
    <dataValidation type="list" sqref="E5:E100" xr:uid="{00000000-0002-0000-0000-000001000000}">
      <formula1>"P0-最高,P1-高,P2-中,P3-低"</formula1>
    </dataValidation>
    <dataValidation type="list" sqref="F5:F100" xr:uid="{00000000-0002-0000-0000-000002000000}">
      <formula1>"未开始,需求确认,开发中,测试中,待复盘,已完成,暂停"</formula1>
    </dataValidation>
    <dataValidation type="list" sqref="G5:G100" xr:uid="{00000000-0002-0000-0000-000003000000}">
      <formula1>"需求确认,方案拆解,Block标准化,质量检查,资料储备,复盘归档"</formula1>
    </dataValidation>
    <dataValidation type="list" sqref="H5:H100" xr:uid="{00000000-0002-0000-0000-000004000000}">
      <formula1>"我,待分配,合作方,导师/老板"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C4B99D-0ADE-2349-E55B-F37F7D7E15A0}">
            <x14:dataBar>
              <x14:cfvo type="min"/>
              <x14:cfvo type="max"/>
              <x14:negativeFillColor auto="1"/>
              <x14:axisColor auto="1"/>
            </x14:dataBar>
          </x14:cfRule>
          <xm:sqref>L5:L100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L1"/>
    </sheetView>
  </sheetViews>
  <sheetFormatPr defaultRowHeight="15.0" baseColWidth="10"/>
  <cols>
    <col min="1" max="1" width="16" hidden="0" customWidth="1"/>
    <col min="2" max="2" width="12" hidden="0" customWidth="1"/>
    <col min="3" max="3" width="12" hidden="0" customWidth="1"/>
    <col min="4" max="4" width="12" hidden="0" customWidth="1"/>
    <col min="5" max="5" width="10" hidden="0" customWidth="1"/>
    <col min="6" max="6" width="42" hidden="0" customWidth="1"/>
    <col min="7" max="7" width="12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</cols>
  <sheetData>
    <row r="1" ht="22.5" customHeight="1">
      <c r="A1" s="6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" customHeight="1">
      <c r="A2" s="22" t="s">
        <v>94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27.95" customHeight="1">
      <c r="A4" s="12" t="s">
        <v>95</v>
      </c>
      <c r="B4" s="13" t="n">
        <f>COUNTA(工作计划总表!B5:B100)</f>
        <v>29</v>
      </c>
      <c r="C4" s="15"/>
      <c r="D4" s="12" t="s">
        <v>96</v>
      </c>
      <c r="E4" s="13" t="n">
        <f>COUNTIF(工作计划总表!F5:F100,"已完成")</f>
        <v>1</v>
      </c>
      <c r="F4" s="15"/>
      <c r="G4" s="12" t="s">
        <v>97</v>
      </c>
      <c r="H4" s="14" t="n">
        <f>AVERAGE(工作计划总表!L5:L100)</f>
        <v>8.3333333333333329E-2</v>
      </c>
      <c r="I4" s="15"/>
      <c r="J4" s="12" t="s">
        <v>98</v>
      </c>
      <c r="K4" s="13" t="n">
        <f ca="1">COUNTIFS(工作计划总表!J5:J100,"&lt;"&amp;TODAY(),工作计划总表!F5:F100,"&lt;&gt;已完成",工作计划总表!B5:B100,"&lt;&gt;")</f>
        <v>0</v>
      </c>
      <c r="L4" s="15"/>
    </row>
    <row r="5" ht="27.95" customHeight="1">
      <c r="A5" s="12"/>
      <c r="B5" s="12"/>
      <c r="C5" s="15"/>
      <c r="D5" s="12"/>
      <c r="E5" s="12"/>
      <c r="F5" s="15"/>
      <c r="G5" s="12"/>
      <c r="H5" s="12"/>
      <c r="I5" s="15"/>
      <c r="J5" s="12"/>
      <c r="K5" s="12"/>
      <c r="L5" s="15"/>
    </row>
    <row r="6" ht="27.9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ht="27.95" customHeight="1">
      <c r="A7" s="12" t="s">
        <v>99</v>
      </c>
      <c r="B7" s="13" t="n">
        <f>COUNTIF(工作计划总表!E5:E100,"P0-最高")+COUNTIF(工作计划总表!E5:E100,"P1-高")</f>
        <v>7</v>
      </c>
      <c r="C7" s="15"/>
      <c r="D7" s="12" t="s">
        <v>100</v>
      </c>
      <c r="E7" s="13" t="n">
        <f ca="1">COUNTIFS(工作计划总表!J5:J100,"&gt;="&amp;TODAY(),工作计划总表!J5:J100,"&lt;="&amp;TODAY()+7,工作计划总表!F5:F100,"&lt;&gt;已完成")</f>
        <v>6</v>
      </c>
      <c r="F7" s="15"/>
      <c r="G7" s="12" t="s">
        <v>101</v>
      </c>
      <c r="H7" s="13" t="n">
        <f>COUNTIF(工作计划总表!D5:D100,"是")</f>
        <v>6</v>
      </c>
      <c r="I7" s="15"/>
      <c r="J7" s="12" t="s">
        <v>102</v>
      </c>
      <c r="K7" s="13" t="n">
        <f>COUNTIF(工作计划总表!D5:D100,"否")</f>
        <v>6</v>
      </c>
      <c r="L7" s="15"/>
    </row>
    <row r="8" ht="27.95" customHeight="1">
      <c r="A8" s="12"/>
      <c r="B8" s="12"/>
      <c r="C8" s="15"/>
      <c r="D8" s="12"/>
      <c r="E8" s="12"/>
      <c r="F8" s="15"/>
      <c r="G8" s="12"/>
      <c r="H8" s="12"/>
      <c r="I8" s="15"/>
      <c r="J8" s="12"/>
      <c r="K8" s="12"/>
      <c r="L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" customHeight="1">
      <c r="A11" s="16" t="s">
        <v>7</v>
      </c>
      <c r="B11" s="16" t="s">
        <v>103</v>
      </c>
      <c r="C11" s="16" t="s">
        <v>104</v>
      </c>
      <c r="D11" s="15"/>
      <c r="E11" s="16" t="s">
        <v>6</v>
      </c>
      <c r="F11" s="16" t="s">
        <v>103</v>
      </c>
      <c r="G11" s="16" t="s">
        <v>104</v>
      </c>
      <c r="H11" s="15"/>
      <c r="I11" s="15"/>
      <c r="J11" s="15"/>
      <c r="K11" s="15"/>
      <c r="L11" s="15"/>
    </row>
    <row r="12">
      <c r="A12" s="15" t="s">
        <v>46</v>
      </c>
      <c r="B12" s="15" t="n">
        <f>COUNTIF(工作计划总表!F5:F100,A12)</f>
        <v>11</v>
      </c>
      <c r="C12" s="17" t="n">
        <f t="shared" ref="C12:C18" si="0">IF($B12=0,0,B12/$B$4)</f>
        <v>0.37931034482758619</v>
      </c>
      <c r="D12" s="15"/>
      <c r="E12" s="15" t="s">
        <v>24</v>
      </c>
      <c r="F12" s="15" t="n">
        <f>COUNTIF(工作计划总表!E5:E100,E12)</f>
        <v>5</v>
      </c>
      <c r="G12" s="17" t="n">
        <f>IF($B$4=0,0,F12/$B$4)</f>
        <v>0.17241379310344829</v>
      </c>
      <c r="H12" s="15"/>
      <c r="I12" s="15"/>
      <c r="J12" s="15"/>
      <c r="K12" s="15"/>
      <c r="L12" s="15"/>
    </row>
    <row r="13">
      <c r="A13" s="15" t="s">
        <v>38</v>
      </c>
      <c r="B13" s="15" t="n">
        <f>COUNTIF(工作计划总表!F5:F100,A13)</f>
        <v>0</v>
      </c>
      <c r="C13" s="17" t="n">
        <f t="shared" si="0"/>
        <v>0</v>
      </c>
      <c r="D13" s="15"/>
      <c r="E13" s="15" t="s">
        <v>45</v>
      </c>
      <c r="F13" s="15" t="n">
        <f>COUNTIF(工作计划总表!E5:E100,E13)</f>
        <v>2</v>
      </c>
      <c r="G13" s="17" t="n">
        <f>IF($B$4=0,0,F13/$B$4)</f>
        <v>6.8965517241379309E-2</v>
      </c>
      <c r="H13" s="15"/>
      <c r="I13" s="15"/>
      <c r="J13" s="15"/>
      <c r="K13" s="15"/>
      <c r="L13" s="15"/>
    </row>
    <row r="14">
      <c r="A14" s="15" t="s">
        <v>25</v>
      </c>
      <c r="B14" s="15" t="n">
        <f>COUNTIF(工作计划总表!F5:F100,A14)</f>
        <v>0</v>
      </c>
      <c r="C14" s="17" t="n">
        <f t="shared" si="0"/>
        <v>0</v>
      </c>
      <c r="D14" s="15"/>
      <c r="E14" s="15" t="s">
        <v>59</v>
      </c>
      <c r="F14" s="15" t="n">
        <f>COUNTIF(工作计划总表!E5:E100,E14)</f>
        <v>3</v>
      </c>
      <c r="G14" s="17" t="n">
        <f>IF($B$4=0,0,F14/$B$4)</f>
        <v>0.10344827586206896</v>
      </c>
      <c r="H14" s="15"/>
      <c r="I14" s="15"/>
      <c r="J14" s="15"/>
      <c r="K14" s="15"/>
      <c r="L14" s="15"/>
    </row>
    <row r="15">
      <c r="A15" s="15" t="s">
        <v>52</v>
      </c>
      <c r="B15" s="15" t="n">
        <f>COUNTIF(工作计划总表!F5:F100,A15)</f>
        <v>0</v>
      </c>
      <c r="C15" s="17" t="n">
        <f t="shared" si="0"/>
        <v>0</v>
      </c>
      <c r="D15" s="15"/>
      <c r="E15" s="15" t="s">
        <v>85</v>
      </c>
      <c r="F15" s="15" t="n">
        <f>COUNTIF(工作计划总表!E5:E100,E15)</f>
        <v>2</v>
      </c>
      <c r="G15" s="17" t="n">
        <f>IF($B$4=0,0,F15/$B$4)</f>
        <v>6.8965517241379309E-2</v>
      </c>
      <c r="H15" s="15"/>
      <c r="I15" s="15"/>
      <c r="J15" s="15"/>
      <c r="K15" s="15"/>
      <c r="L15" s="15"/>
    </row>
    <row r="16">
      <c r="A16" s="15" t="s">
        <v>105</v>
      </c>
      <c r="B16" s="15" t="n">
        <f>COUNTIF(工作计划总表!F5:F100,A16)</f>
        <v>0</v>
      </c>
      <c r="C16" s="17" t="n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</row>
    <row r="17">
      <c r="A17" s="15" t="s">
        <v>96</v>
      </c>
      <c r="B17" s="15" t="n">
        <f>COUNTIF(工作计划总表!F5:F100,A17)</f>
        <v>1</v>
      </c>
      <c r="C17" s="17" t="n">
        <f t="shared" si="0"/>
        <v>3.4482758620689655E-2</v>
      </c>
      <c r="D17" s="15"/>
      <c r="E17" s="15"/>
      <c r="F17" s="15"/>
      <c r="G17" s="15"/>
      <c r="H17" s="15"/>
      <c r="I17" s="15"/>
      <c r="J17" s="15"/>
      <c r="K17" s="15"/>
      <c r="L17" s="15"/>
    </row>
    <row r="18">
      <c r="A18" s="15" t="s">
        <v>106</v>
      </c>
      <c r="B18" s="15" t="n">
        <f>COUNTIF(工作计划总表!F5:F100,A18)</f>
        <v>0</v>
      </c>
      <c r="C18" s="17" t="n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ht="15" customHeight="1">
      <c r="A21" s="23" t="s">
        <v>107</v>
      </c>
      <c r="B21" s="23"/>
      <c r="C21" s="23"/>
      <c r="D21" s="23"/>
      <c r="E21" s="23"/>
      <c r="F21" s="23"/>
      <c r="G21" s="15"/>
      <c r="H21" s="15"/>
      <c r="I21" s="15"/>
      <c r="J21" s="15"/>
      <c r="K21" s="15"/>
      <c r="L21" s="15"/>
    </row>
    <row r="22" ht="15" customHeight="1">
      <c r="A22" s="18" t="s">
        <v>108</v>
      </c>
      <c r="B22" s="18" t="s">
        <v>6</v>
      </c>
      <c r="C22" s="18" t="s">
        <v>7</v>
      </c>
      <c r="D22" s="18" t="s">
        <v>11</v>
      </c>
      <c r="E22" s="18" t="s">
        <v>12</v>
      </c>
      <c r="F22" s="18" t="s">
        <v>109</v>
      </c>
      <c r="G22" s="15"/>
      <c r="H22" s="15"/>
      <c r="I22" s="15"/>
      <c r="J22" s="15"/>
      <c r="K22" s="15"/>
      <c r="L22" s="15"/>
    </row>
    <row r="23" ht="44.1" customHeight="1">
      <c r="A23" s="19" t="str">
        <f>工作计划总表!B5</f>
        <v>发病</v>
      </c>
      <c r="B23" s="19" t="str">
        <f>工作计划总表!E5</f>
        <v>P0-最高</v>
      </c>
      <c r="C23" s="19" t="str">
        <f>工作计划总表!F5</f>
        <v>已完成</v>
      </c>
      <c r="D23" s="20" t="n">
        <f>工作计划总表!J5</f>
        <v>0</v>
      </c>
      <c r="E23" s="21" t="n">
        <f ca="1">工作计划总表!K5</f>
        <v>0</v>
      </c>
      <c r="F23" s="19" t="e">
        <f>工作计划总表!#REF!</f>
        <v>#REF!</v>
      </c>
      <c r="G23" s="15"/>
      <c r="H23" s="15"/>
      <c r="I23" s="15"/>
      <c r="J23" s="15"/>
      <c r="K23" s="15"/>
      <c r="L23" s="15"/>
    </row>
    <row r="24" ht="44.1" customHeight="1">
      <c r="A24" s="19" t="str">
        <f>工作计划总表!B6</f>
        <v>预后</v>
      </c>
      <c r="B24" s="19" t="str">
        <f>工作计划总表!E6</f>
        <v>P0-最高</v>
      </c>
      <c r="C24" s="19" t="str">
        <f>工作计划总表!F6</f>
        <v>未开始</v>
      </c>
      <c r="D24" s="20" t="n">
        <f>工作计划总表!J6</f>
        <v>46196</v>
      </c>
      <c r="E24" s="21" t="n">
        <f ca="1">工作计划总表!K6</f>
        <v>1</v>
      </c>
      <c r="F24" s="19" t="e">
        <f>工作计划总表!#REF!</f>
        <v>#REF!</v>
      </c>
      <c r="G24" s="15"/>
      <c r="H24" s="15"/>
      <c r="I24" s="15"/>
      <c r="J24" s="15"/>
      <c r="K24" s="15"/>
      <c r="L24" s="15"/>
    </row>
    <row r="25" ht="44.1" customHeight="1">
      <c r="A25" s="19" t="str">
        <f>工作计划总表!B9</f>
        <v>无监督聚类（单库）加机器学习</v>
      </c>
      <c r="B25" s="19" t="str">
        <f>工作计划总表!E9</f>
        <v>P0-最高</v>
      </c>
      <c r="C25" s="19" t="str">
        <f>工作计划总表!F9</f>
        <v>未开始</v>
      </c>
      <c r="D25" s="20" t="n">
        <f>工作计划总表!J9</f>
        <v>46198</v>
      </c>
      <c r="E25" s="21" t="n">
        <f ca="1">工作计划总表!K9</f>
        <v>3</v>
      </c>
      <c r="F25" s="19" t="e">
        <f>工作计划总表!#REF!</f>
        <v>#REF!</v>
      </c>
      <c r="G25" s="15"/>
      <c r="H25" s="15"/>
      <c r="I25" s="15"/>
      <c r="J25" s="15"/>
      <c r="K25" s="15"/>
      <c r="L25" s="15"/>
    </row>
    <row r="26" ht="44.1" customHeight="1">
      <c r="A26" s="19" t="str">
        <f>工作计划总表!B7</f>
        <v>预测</v>
      </c>
      <c r="B26" s="19" t="str">
        <f>工作计划总表!E7</f>
        <v>P0-最高</v>
      </c>
      <c r="C26" s="19" t="str">
        <f>工作计划总表!F7</f>
        <v>未开始</v>
      </c>
      <c r="D26" s="20" t="n">
        <f>工作计划总表!J7</f>
        <v>46197</v>
      </c>
      <c r="E26" s="21" t="n">
        <f ca="1">工作计划总表!K7</f>
        <v>2</v>
      </c>
      <c r="F26" s="19" t="e">
        <f>工作计划总表!#REF!</f>
        <v>#REF!</v>
      </c>
      <c r="G26" s="15"/>
      <c r="H26" s="15"/>
      <c r="I26" s="15"/>
      <c r="J26" s="15"/>
      <c r="K26" s="15"/>
      <c r="L26" s="15"/>
    </row>
    <row r="27" ht="44.1" customHeight="1">
      <c r="A27" s="19" t="str">
        <f>工作计划总表!B11</f>
        <v>轨迹（预后）</v>
      </c>
      <c r="B27" s="19" t="str">
        <f>工作计划总表!E11</f>
        <v>P1-高</v>
      </c>
      <c r="C27" s="19" t="str">
        <f>工作计划总表!F11</f>
        <v>未开始</v>
      </c>
      <c r="D27" s="20" t="n">
        <f>工作计划总表!J11</f>
        <v>46202</v>
      </c>
      <c r="E27" s="21" t="n">
        <f ca="1">工作计划总表!K11</f>
        <v>7</v>
      </c>
      <c r="F27" s="19" t="e">
        <f>工作计划总表!#REF!</f>
        <v>#REF!</v>
      </c>
      <c r="G27" s="15"/>
      <c r="H27" s="15"/>
      <c r="I27" s="15"/>
      <c r="J27" s="15"/>
      <c r="K27" s="15"/>
      <c r="L27" s="15"/>
    </row>
    <row r="28" ht="44.1" customHeight="1">
      <c r="A28" s="19" t="str">
        <f>工作计划总表!B12</f>
        <v>轨迹（发病）</v>
      </c>
      <c r="B28" s="19" t="str">
        <f>工作计划总表!E12</f>
        <v>P1-高</v>
      </c>
      <c r="C28" s="19" t="str">
        <f>工作计划总表!F12</f>
        <v>未开始</v>
      </c>
      <c r="D28" s="20" t="n">
        <f>工作计划总表!J12</f>
        <v>46203</v>
      </c>
      <c r="E28" s="21" t="n">
        <f ca="1">工作计划总表!K12</f>
        <v>8</v>
      </c>
      <c r="F28" s="19" t="e">
        <f>工作计划总表!#REF!</f>
        <v>#REF!</v>
      </c>
      <c r="G28" s="15"/>
      <c r="H28" s="15"/>
      <c r="I28" s="15"/>
      <c r="J28" s="15"/>
      <c r="K28" s="15"/>
      <c r="L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</sheetData>
  <mergeCells count="3">
    <mergeCell ref="A1:L1"/>
    <mergeCell ref="A2:L2"/>
    <mergeCell ref="A21:F21"/>
  </mergeCells>
  <conditionalFormatting sqref="C12:C18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{D4D3A983-58C1-2F90-4E0E-C905876C5BA4}</x14:id>
        </ext>
      </extLst>
    </cfRule>
  </conditionalFormatting>
  <conditionalFormatting sqref="G12:G15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{777F40D3-73E7-C776-01E9-E9A1A372E5C4}</x14:id>
        </ext>
      </extLst>
    </cfRule>
  </conditionalFormatting>
  <pageMargins left="0.7" right="0.7" top="0.75" bottom="0.75" header="0.3" footer="0.3"/>
  <pageSetup paperSize="9" orientation="portrait" horizontalDpi="300" verticalDpi="300" r:id="rId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D3A983-58C1-2F90-4E0E-C905876C5BA4}">
            <x14:dataBar>
              <x14:cfvo type="min"/>
              <x14:cfvo type="max"/>
              <x14:negativeFillColor auto="1"/>
              <x14:axisColor auto="1"/>
            </x14:dataBar>
          </x14:cfRule>
          <xm:sqref>C12:C18</xm:sqref>
        </x14:conditionalFormatting>
        <x14:conditionalFormatting xmlns:xm="http://schemas.microsoft.com/office/excel/2006/main">
          <x14:cfRule type="dataBar" id="{777F40D3-73E7-C776-01E9-E9A1A372E5C4}">
            <x14:dataBar>
              <x14:cfvo type="min"/>
              <x14:cfvo type="max"/>
              <x14:negativeFillColor auto="1"/>
              <x14:axisColor auto="1"/>
            </x14:dataBar>
          </x14:cfRule>
          <xm:sqref>G12:G15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K1"/>
    </sheetView>
  </sheetViews>
  <sheetFormatPr defaultRowHeight="15.0" baseColWidth="10"/>
  <cols>
    <col min="1" max="1" width="8" hidden="0" customWidth="1"/>
    <col min="2" max="2" width="18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</cols>
  <sheetData>
    <row r="1" ht="21.75" customHeight="1">
      <c r="A1" s="28" t="s">
        <v>110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" customHeight="1">
      <c r="A2" s="29" t="s">
        <v>111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>
      <c r="G3" s="25" t="n">
        <v>46190</v>
      </c>
      <c r="H3" s="25" t="n">
        <v>46197</v>
      </c>
      <c r="I3" s="25" t="n">
        <v>46204</v>
      </c>
      <c r="J3" s="25" t="n">
        <v>46211</v>
      </c>
      <c r="K3" s="25" t="n">
        <v>46218</v>
      </c>
      <c r="L3" s="25" t="n">
        <v>46225</v>
      </c>
      <c r="M3" s="25" t="n">
        <v>46232</v>
      </c>
      <c r="N3" s="25" t="n">
        <v>46239</v>
      </c>
    </row>
    <row r="4" ht="15" customHeight="1">
      <c r="A4" s="24" t="s">
        <v>2</v>
      </c>
      <c r="B4" s="24" t="s">
        <v>3</v>
      </c>
      <c r="C4" s="24" t="s">
        <v>10</v>
      </c>
      <c r="D4" s="24" t="s">
        <v>11</v>
      </c>
      <c r="E4" s="24" t="s">
        <v>7</v>
      </c>
      <c r="F4" s="24" t="s">
        <v>6</v>
      </c>
      <c r="G4" s="24" t="s">
        <v>112</v>
      </c>
      <c r="H4" s="24" t="s">
        <v>113</v>
      </c>
      <c r="I4" s="24" t="s">
        <v>114</v>
      </c>
      <c r="J4" s="24" t="s">
        <v>115</v>
      </c>
      <c r="K4" s="24" t="s">
        <v>116</v>
      </c>
      <c r="L4" s="24" t="s">
        <v>117</v>
      </c>
      <c r="M4" s="24" t="s">
        <v>118</v>
      </c>
      <c r="N4" s="24" t="s">
        <v>119</v>
      </c>
    </row>
    <row r="5" ht="30" customHeight="1">
      <c r="A5" s="27" t="str">
        <f>工作计划总表!A5</f>
        <v>B01</v>
      </c>
      <c r="B5" s="27" t="str">
        <f>工作计划总表!B5</f>
        <v>发病</v>
      </c>
      <c r="C5" s="30" t="n">
        <f>工作计划总表!I5</f>
        <v>0</v>
      </c>
      <c r="D5" s="30" t="n">
        <f>工作计划总表!J5</f>
        <v>0</v>
      </c>
      <c r="E5" s="27" t="str">
        <f>工作计划总表!F5</f>
        <v>已完成</v>
      </c>
      <c r="F5" s="27" t="str">
        <f>工作计划总表!E5</f>
        <v>P0-最高</v>
      </c>
      <c r="G5" s="26" t="str">
        <f t="shared" ref="G5:N16" si="0">IF(AND($C5&lt;=G$3+6,$D5&gt;=G$3),"●","")</f>
      </c>
      <c r="H5" s="26" t="str">
        <f t="shared" si="0"/>
      </c>
      <c r="I5" s="26" t="str">
        <f t="shared" si="0"/>
      </c>
      <c r="J5" s="26" t="str">
        <f t="shared" si="0"/>
      </c>
      <c r="K5" s="26" t="str">
        <f t="shared" si="0"/>
      </c>
      <c r="L5" s="26" t="str">
        <f t="shared" si="0"/>
      </c>
      <c r="M5" s="26" t="str">
        <f t="shared" si="0"/>
      </c>
      <c r="N5" s="26" t="str">
        <f t="shared" si="0"/>
      </c>
    </row>
    <row r="6" ht="30" customHeight="1">
      <c r="A6" s="27" t="str">
        <f>工作计划总表!A6</f>
        <v>B02</v>
      </c>
      <c r="B6" s="27" t="str">
        <f>工作计划总表!B6</f>
        <v>预后</v>
      </c>
      <c r="C6" s="30" t="n">
        <f>工作计划总表!I6</f>
        <v>46196</v>
      </c>
      <c r="D6" s="30" t="n">
        <f>工作计划总表!J6</f>
        <v>46196</v>
      </c>
      <c r="E6" s="27" t="str">
        <f>工作计划总表!F6</f>
        <v>未开始</v>
      </c>
      <c r="F6" s="27" t="str">
        <f>工作计划总表!E6</f>
        <v>P0-最高</v>
      </c>
      <c r="G6" s="26" t="str">
        <f t="shared" si="0"/>
        <v>●</v>
      </c>
      <c r="H6" s="26" t="str">
        <f t="shared" si="0"/>
      </c>
      <c r="I6" s="26" t="str">
        <f t="shared" si="0"/>
      </c>
      <c r="J6" s="26" t="str">
        <f t="shared" si="0"/>
      </c>
      <c r="K6" s="26" t="str">
        <f t="shared" si="0"/>
      </c>
      <c r="L6" s="26" t="str">
        <f t="shared" si="0"/>
      </c>
      <c r="M6" s="26" t="str">
        <f t="shared" si="0"/>
      </c>
      <c r="N6" s="26" t="str">
        <f t="shared" si="0"/>
      </c>
    </row>
    <row r="7" ht="30" customHeight="1">
      <c r="A7" s="27" t="str">
        <f>工作计划总表!A7</f>
        <v>B03</v>
      </c>
      <c r="B7" s="27" t="str">
        <f>工作计划总表!B7</f>
        <v>预测</v>
      </c>
      <c r="C7" s="30" t="n">
        <f>工作计划总表!I7</f>
        <v>46197</v>
      </c>
      <c r="D7" s="30" t="n">
        <f>工作计划总表!J7</f>
        <v>46197</v>
      </c>
      <c r="E7" s="27" t="str">
        <f>工作计划总表!F7</f>
        <v>未开始</v>
      </c>
      <c r="F7" s="27" t="str">
        <f>工作计划总表!E7</f>
        <v>P0-最高</v>
      </c>
      <c r="G7" s="26" t="str">
        <f t="shared" si="0"/>
      </c>
      <c r="H7" s="26" t="str">
        <f t="shared" si="0"/>
        <v>●</v>
      </c>
      <c r="I7" s="26" t="str">
        <f t="shared" si="0"/>
      </c>
      <c r="J7" s="26" t="str">
        <f t="shared" si="0"/>
      </c>
      <c r="K7" s="26" t="str">
        <f t="shared" si="0"/>
      </c>
      <c r="L7" s="26" t="str">
        <f t="shared" si="0"/>
      </c>
      <c r="M7" s="26" t="str">
        <f t="shared" si="0"/>
      </c>
      <c r="N7" s="26" t="str">
        <f t="shared" si="0"/>
      </c>
    </row>
    <row r="8" ht="30" customHeight="1">
      <c r="A8" s="27" t="str">
        <f>工作计划总表!A8</f>
        <v>B04</v>
      </c>
      <c r="B8" s="27" t="str">
        <f>工作计划总表!B8</f>
        <v>环境</v>
      </c>
      <c r="C8" s="30" t="n">
        <f>工作计划总表!I8</f>
        <v>46195</v>
      </c>
      <c r="D8" s="30" t="n">
        <f>工作计划总表!J8</f>
        <v>46195</v>
      </c>
      <c r="E8" s="27" t="str">
        <f>工作计划总表!F8</f>
        <v>未开始</v>
      </c>
      <c r="F8" s="27" t="str">
        <f>工作计划总表!E8</f>
        <v>P0-最高</v>
      </c>
      <c r="G8" s="26" t="str">
        <f t="shared" si="0"/>
        <v>●</v>
      </c>
      <c r="H8" s="26" t="str">
        <f t="shared" si="0"/>
      </c>
      <c r="I8" s="26" t="str">
        <f t="shared" si="0"/>
      </c>
      <c r="J8" s="26" t="str">
        <f t="shared" si="0"/>
      </c>
      <c r="K8" s="26" t="str">
        <f t="shared" si="0"/>
      </c>
      <c r="L8" s="26" t="str">
        <f t="shared" si="0"/>
      </c>
      <c r="M8" s="26" t="str">
        <f t="shared" si="0"/>
      </c>
      <c r="N8" s="26" t="str">
        <f t="shared" si="0"/>
      </c>
    </row>
    <row r="9" ht="30" customHeight="1">
      <c r="A9" s="27" t="str">
        <f>工作计划总表!A9</f>
        <v>B05</v>
      </c>
      <c r="B9" s="27" t="str">
        <f>工作计划总表!B9</f>
        <v>无监督聚类（单库）加机器学习</v>
      </c>
      <c r="C9" s="30" t="n">
        <f>工作计划总表!I9</f>
        <v>46198</v>
      </c>
      <c r="D9" s="30" t="n">
        <f>工作计划总表!J9</f>
        <v>46198</v>
      </c>
      <c r="E9" s="27" t="str">
        <f>工作计划总表!F9</f>
        <v>未开始</v>
      </c>
      <c r="F9" s="27" t="str">
        <f>工作计划总表!E9</f>
        <v>P0-最高</v>
      </c>
      <c r="G9" s="26" t="str">
        <f t="shared" si="0"/>
      </c>
      <c r="H9" s="26" t="str">
        <f t="shared" si="0"/>
        <v>●</v>
      </c>
      <c r="I9" s="26" t="str">
        <f t="shared" si="0"/>
      </c>
      <c r="J9" s="26" t="str">
        <f t="shared" si="0"/>
      </c>
      <c r="K9" s="26" t="str">
        <f t="shared" si="0"/>
      </c>
      <c r="L9" s="26" t="str">
        <f t="shared" si="0"/>
      </c>
      <c r="M9" s="26" t="str">
        <f t="shared" si="0"/>
      </c>
      <c r="N9" s="26" t="str">
        <f t="shared" si="0"/>
      </c>
    </row>
    <row r="10" ht="30" customHeight="1">
      <c r="A10" s="27" t="str">
        <f>工作计划总表!A10</f>
        <v>B06</v>
      </c>
      <c r="B10" s="27" t="str">
        <f>工作计划总表!B10</f>
        <v>交叉滞后</v>
      </c>
      <c r="C10" s="30" t="n">
        <f>工作计划总表!I10</f>
        <v>0</v>
      </c>
      <c r="D10" s="30" t="n">
        <f>工作计划总表!J10</f>
        <v>46199</v>
      </c>
      <c r="E10" s="27" t="str">
        <f>工作计划总表!F10</f>
        <v>未开始</v>
      </c>
      <c r="F10" s="27" t="str">
        <f>工作计划总表!E10</f>
        <v>P2-中</v>
      </c>
      <c r="G10" s="26" t="str">
        <f t="shared" si="0"/>
        <v>●</v>
      </c>
      <c r="H10" s="26" t="str">
        <f t="shared" si="0"/>
        <v>●</v>
      </c>
      <c r="I10" s="26" t="str">
        <f t="shared" si="0"/>
      </c>
      <c r="J10" s="26" t="str">
        <f t="shared" si="0"/>
      </c>
      <c r="K10" s="26" t="str">
        <f t="shared" si="0"/>
      </c>
      <c r="L10" s="26" t="str">
        <f t="shared" si="0"/>
      </c>
      <c r="M10" s="26" t="str">
        <f t="shared" si="0"/>
      </c>
      <c r="N10" s="26" t="str">
        <f t="shared" si="0"/>
      </c>
    </row>
    <row r="11" ht="30" customHeight="1">
      <c r="A11" s="27" t="str">
        <f>工作计划总表!A11</f>
        <v>B07</v>
      </c>
      <c r="B11" s="27" t="str">
        <f>工作计划总表!B11</f>
        <v>轨迹（预后）</v>
      </c>
      <c r="C11" s="30" t="n">
        <f>工作计划总表!I11</f>
        <v>0</v>
      </c>
      <c r="D11" s="30" t="n">
        <f>工作计划总表!J11</f>
        <v>46202</v>
      </c>
      <c r="E11" s="27" t="str">
        <f>工作计划总表!F11</f>
        <v>未开始</v>
      </c>
      <c r="F11" s="27" t="str">
        <f>工作计划总表!E11</f>
        <v>P1-高</v>
      </c>
      <c r="G11" s="26" t="str">
        <f t="shared" si="0"/>
        <v>●</v>
      </c>
      <c r="H11" s="26" t="str">
        <f t="shared" si="0"/>
        <v>●</v>
      </c>
      <c r="I11" s="26" t="str">
        <f t="shared" si="0"/>
      </c>
      <c r="J11" s="26" t="str">
        <f t="shared" si="0"/>
      </c>
      <c r="K11" s="26" t="str">
        <f t="shared" si="0"/>
      </c>
      <c r="L11" s="26" t="str">
        <f t="shared" si="0"/>
      </c>
      <c r="M11" s="26" t="str">
        <f t="shared" si="0"/>
      </c>
      <c r="N11" s="26" t="str">
        <f t="shared" si="0"/>
      </c>
    </row>
    <row r="12" ht="30" customHeight="1">
      <c r="A12" s="27" t="str">
        <f>工作计划总表!A12</f>
        <v>B08</v>
      </c>
      <c r="B12" s="27" t="str">
        <f>工作计划总表!B12</f>
        <v>轨迹（发病）</v>
      </c>
      <c r="C12" s="30" t="n">
        <f>工作计划总表!I12</f>
        <v>0</v>
      </c>
      <c r="D12" s="30" t="n">
        <f>工作计划总表!J12</f>
        <v>46203</v>
      </c>
      <c r="E12" s="27" t="str">
        <f>工作计划总表!F12</f>
        <v>未开始</v>
      </c>
      <c r="F12" s="27" t="str">
        <f>工作计划总表!E12</f>
        <v>P1-高</v>
      </c>
      <c r="G12" s="26" t="str">
        <f t="shared" si="0"/>
        <v>●</v>
      </c>
      <c r="H12" s="26" t="str">
        <f t="shared" si="0"/>
        <v>●</v>
      </c>
      <c r="I12" s="26" t="str">
        <f t="shared" si="0"/>
      </c>
      <c r="J12" s="26" t="str">
        <f t="shared" si="0"/>
      </c>
      <c r="K12" s="26" t="str">
        <f t="shared" si="0"/>
      </c>
      <c r="L12" s="26" t="str">
        <f t="shared" si="0"/>
      </c>
      <c r="M12" s="26" t="str">
        <f t="shared" si="0"/>
      </c>
      <c r="N12" s="26" t="str">
        <f t="shared" si="0"/>
      </c>
    </row>
    <row r="13" ht="30" customHeight="1">
      <c r="A13" s="27" t="str">
        <f>工作计划总表!A13</f>
        <v>B09</v>
      </c>
      <c r="B13" s="27" t="str">
        <f>工作计划总表!B13</f>
        <v>不同用药方案</v>
      </c>
      <c r="C13" s="30" t="n">
        <f>工作计划总表!I13</f>
        <v>0</v>
      </c>
      <c r="D13" s="30" t="n">
        <f>工作计划总表!J13</f>
        <v>46204</v>
      </c>
      <c r="E13" s="27" t="str">
        <f>工作计划总表!F13</f>
        <v>未开始</v>
      </c>
      <c r="F13" s="27" t="str">
        <f>工作计划总表!E13</f>
        <v>P2-中</v>
      </c>
      <c r="G13" s="26" t="str">
        <f t="shared" si="0"/>
        <v>●</v>
      </c>
      <c r="H13" s="26" t="str">
        <f t="shared" si="0"/>
        <v>●</v>
      </c>
      <c r="I13" s="26" t="str">
        <f t="shared" si="0"/>
        <v>●</v>
      </c>
      <c r="J13" s="26" t="str">
        <f t="shared" si="0"/>
      </c>
      <c r="K13" s="26" t="str">
        <f t="shared" si="0"/>
      </c>
      <c r="L13" s="26" t="str">
        <f t="shared" si="0"/>
      </c>
      <c r="M13" s="26" t="str">
        <f t="shared" si="0"/>
      </c>
      <c r="N13" s="26" t="str">
        <f t="shared" si="0"/>
      </c>
    </row>
    <row r="14" ht="30" customHeight="1">
      <c r="A14" s="27" t="str">
        <f>工作计划总表!A14</f>
        <v>B10</v>
      </c>
      <c r="B14" s="27" t="str">
        <f>工作计划总表!B14</f>
        <v>多病叠加</v>
      </c>
      <c r="C14" s="30" t="n">
        <f>工作计划总表!I14</f>
        <v>0</v>
      </c>
      <c r="D14" s="30" t="n">
        <f>工作计划总表!J14</f>
        <v>46205</v>
      </c>
      <c r="E14" s="27" t="str">
        <f>工作计划总表!F14</f>
        <v>未开始</v>
      </c>
      <c r="F14" s="27" t="str">
        <f>工作计划总表!E14</f>
        <v>P2-中</v>
      </c>
      <c r="G14" s="26" t="str">
        <f t="shared" si="0"/>
        <v>●</v>
      </c>
      <c r="H14" s="26" t="str">
        <f t="shared" si="0"/>
        <v>●</v>
      </c>
      <c r="I14" s="26" t="str">
        <f t="shared" si="0"/>
        <v>●</v>
      </c>
      <c r="J14" s="26" t="str">
        <f t="shared" si="0"/>
      </c>
      <c r="K14" s="26" t="str">
        <f t="shared" si="0"/>
      </c>
      <c r="L14" s="26" t="str">
        <f t="shared" si="0"/>
      </c>
      <c r="M14" s="26" t="str">
        <f t="shared" si="0"/>
      </c>
      <c r="N14" s="26" t="str">
        <f t="shared" si="0"/>
      </c>
    </row>
    <row r="15" ht="30" customHeight="1">
      <c r="A15" s="27" t="str">
        <f>工作计划总表!A15</f>
        <v>B11</v>
      </c>
      <c r="B15" s="27" t="str">
        <f>工作计划总表!B15</f>
        <v>多状态马尔可夫</v>
      </c>
      <c r="C15" s="30" t="n">
        <f>工作计划总表!I15</f>
        <v>0</v>
      </c>
      <c r="D15" s="30" t="n">
        <f>工作计划总表!J15</f>
        <v>46206</v>
      </c>
      <c r="E15" s="27" t="str">
        <f>工作计划总表!F15</f>
        <v>未开始</v>
      </c>
      <c r="F15" s="27" t="str">
        <f>工作计划总表!E15</f>
        <v>P3-低</v>
      </c>
      <c r="G15" s="26" t="str">
        <f t="shared" si="0"/>
        <v>●</v>
      </c>
      <c r="H15" s="26" t="str">
        <f t="shared" si="0"/>
        <v>●</v>
      </c>
      <c r="I15" s="26" t="str">
        <f t="shared" si="0"/>
        <v>●</v>
      </c>
      <c r="J15" s="26" t="str">
        <f t="shared" si="0"/>
      </c>
      <c r="K15" s="26" t="str">
        <f t="shared" si="0"/>
      </c>
      <c r="L15" s="26" t="str">
        <f t="shared" si="0"/>
      </c>
      <c r="M15" s="26" t="str">
        <f t="shared" si="0"/>
      </c>
      <c r="N15" s="26" t="str">
        <f t="shared" si="0"/>
      </c>
    </row>
    <row r="16" ht="30" customHeight="1">
      <c r="A16" s="27" t="str">
        <f>工作计划总表!A16</f>
        <v>B12</v>
      </c>
      <c r="B16" s="27" t="str">
        <f>工作计划总表!B16</f>
        <v>动态因果</v>
      </c>
      <c r="C16" s="30" t="n">
        <f>工作计划总表!I16</f>
        <v>0</v>
      </c>
      <c r="D16" s="30" t="n">
        <f>工作计划总表!J16</f>
        <v>46209</v>
      </c>
      <c r="E16" s="27" t="str">
        <f>工作计划总表!F16</f>
        <v>未开始</v>
      </c>
      <c r="F16" s="27" t="str">
        <f>工作计划总表!E16</f>
        <v>P3-低</v>
      </c>
      <c r="G16" s="26" t="str">
        <f t="shared" si="0"/>
        <v>●</v>
      </c>
      <c r="H16" s="26" t="str">
        <f t="shared" si="0"/>
        <v>●</v>
      </c>
      <c r="I16" s="26" t="str">
        <f t="shared" si="0"/>
        <v>●</v>
      </c>
      <c r="J16" s="26" t="str">
        <f t="shared" si="0"/>
      </c>
      <c r="K16" s="26" t="str">
        <f t="shared" si="0"/>
      </c>
      <c r="L16" s="26" t="str">
        <f t="shared" si="0"/>
      </c>
      <c r="M16" s="26" t="str">
        <f t="shared" si="0"/>
      </c>
      <c r="N16" s="26" t="str">
        <f t="shared" si="0"/>
      </c>
    </row>
  </sheetData>
  <mergeCells count="2">
    <mergeCell ref="A1:K1"/>
    <mergeCell ref="A2:K2"/>
  </mergeCells>
  <conditionalFormatting sqref="E5:E16">
    <cfRule type="expression" dxfId="7" priority="2">
      <formula>E5="已完成"</formula>
    </cfRule>
    <cfRule type="expression" dxfId="6" priority="3">
      <formula>E5="开发中"</formula>
    </cfRule>
    <cfRule type="expression" dxfId="5" priority="4">
      <formula>E5="未开始"</formula>
    </cfRule>
  </conditionalFormatting>
  <conditionalFormatting sqref="G5:N16">
    <cfRule type="expression" dxfId="4" priority="1">
      <formula>G5="●"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F1"/>
    </sheetView>
  </sheetViews>
  <sheetFormatPr defaultRowHeight="15.0" baseColWidth="10"/>
  <cols>
    <col min="1" max="1" width="18" hidden="0" customWidth="1"/>
    <col min="2" max="2" width="28" hidden="0" customWidth="1"/>
    <col min="3" max="3" width="26" hidden="0" customWidth="1"/>
    <col min="4" max="4" width="32" hidden="0" customWidth="1"/>
    <col min="5" max="5" width="10" hidden="0" customWidth="1"/>
    <col min="6" max="6" width="34" hidden="0" customWidth="1"/>
    <col min="8" max="8" width="8" hidden="0" customWidth="1"/>
    <col min="9" max="9" width="24" hidden="0" customWidth="1"/>
    <col min="10" max="10" width="26" hidden="0" customWidth="1"/>
    <col min="11" max="11" width="34" hidden="0" customWidth="1"/>
    <col min="12" max="12" width="10" hidden="0" customWidth="1"/>
    <col min="13" max="13" width="10" hidden="0" customWidth="1"/>
  </cols>
  <sheetData>
    <row r="1" ht="21.75" customHeight="1">
      <c r="A1" s="28" t="s">
        <v>120</v>
      </c>
      <c r="B1" s="28"/>
      <c r="C1" s="28"/>
      <c r="D1" s="28"/>
      <c r="E1" s="28"/>
      <c r="F1" s="28"/>
      <c r="G1" s="4"/>
      <c r="H1" s="32" t="s">
        <v>121</v>
      </c>
      <c r="I1" s="32"/>
      <c r="J1" s="32"/>
      <c r="K1" s="32"/>
      <c r="L1" s="32"/>
      <c r="M1" s="3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ht="15" customHeight="1">
      <c r="A3" s="24" t="s">
        <v>122</v>
      </c>
      <c r="B3" s="24" t="s">
        <v>123</v>
      </c>
      <c r="C3" s="24" t="s">
        <v>124</v>
      </c>
      <c r="D3" s="24" t="s">
        <v>125</v>
      </c>
      <c r="E3" s="24" t="s">
        <v>126</v>
      </c>
      <c r="F3" s="24" t="s">
        <v>127</v>
      </c>
      <c r="H3" s="31" t="s">
        <v>128</v>
      </c>
      <c r="I3" s="31" t="s">
        <v>129</v>
      </c>
      <c r="J3" s="31" t="s">
        <v>130</v>
      </c>
      <c r="K3" s="31" t="s">
        <v>131</v>
      </c>
      <c r="L3" s="31" t="s">
        <v>9</v>
      </c>
      <c r="M3" s="31" t="s">
        <v>132</v>
      </c>
    </row>
    <row r="4" ht="45" customHeight="1">
      <c r="A4" s="27" t="s">
        <v>6</v>
      </c>
      <c r="B4" s="27" t="s">
        <v>133</v>
      </c>
      <c r="C4" s="27" t="s">
        <v>134</v>
      </c>
      <c r="D4" s="27" t="s">
        <v>24</v>
      </c>
      <c r="E4" s="27" t="s">
        <v>23</v>
      </c>
      <c r="F4" s="27" t="s">
        <v>135</v>
      </c>
      <c r="H4" s="27" t="s">
        <v>136</v>
      </c>
      <c r="I4" s="27" t="s">
        <v>137</v>
      </c>
      <c r="J4" s="27" t="s">
        <v>138</v>
      </c>
      <c r="K4" s="27" t="s">
        <v>139</v>
      </c>
      <c r="L4" s="27" t="s">
        <v>27</v>
      </c>
      <c r="M4" s="27" t="s">
        <v>140</v>
      </c>
    </row>
    <row r="5" ht="45" customHeight="1">
      <c r="A5" s="27" t="s">
        <v>7</v>
      </c>
      <c r="B5" s="27" t="s">
        <v>141</v>
      </c>
      <c r="C5" s="27" t="s">
        <v>142</v>
      </c>
      <c r="D5" s="27" t="s">
        <v>25</v>
      </c>
      <c r="E5" s="27" t="s">
        <v>23</v>
      </c>
      <c r="F5" s="27" t="s">
        <v>143</v>
      </c>
      <c r="H5" s="27" t="s">
        <v>144</v>
      </c>
      <c r="I5" s="27" t="s">
        <v>145</v>
      </c>
      <c r="J5" s="27" t="s">
        <v>146</v>
      </c>
      <c r="K5" s="27" t="s">
        <v>147</v>
      </c>
      <c r="L5" s="27" t="s">
        <v>27</v>
      </c>
      <c r="M5" s="27" t="s">
        <v>140</v>
      </c>
    </row>
    <row r="6" ht="45" customHeight="1">
      <c r="A6" s="27" t="s">
        <v>8</v>
      </c>
      <c r="B6" s="27" t="s">
        <v>148</v>
      </c>
      <c r="C6" s="27" t="s">
        <v>149</v>
      </c>
      <c r="D6" s="27" t="s">
        <v>26</v>
      </c>
      <c r="E6" s="27" t="s">
        <v>23</v>
      </c>
      <c r="F6" s="27" t="s">
        <v>150</v>
      </c>
      <c r="H6" s="27" t="s">
        <v>151</v>
      </c>
      <c r="I6" s="27" t="s">
        <v>152</v>
      </c>
      <c r="J6" s="27" t="s">
        <v>153</v>
      </c>
      <c r="K6" s="27" t="s">
        <v>154</v>
      </c>
      <c r="L6" s="27" t="s">
        <v>27</v>
      </c>
      <c r="M6" s="27" t="s">
        <v>140</v>
      </c>
    </row>
    <row r="7" ht="45" customHeight="1">
      <c r="A7" s="27" t="s">
        <v>155</v>
      </c>
      <c r="B7" s="27" t="s">
        <v>156</v>
      </c>
      <c r="C7" s="27" t="s">
        <v>157</v>
      </c>
      <c r="D7" s="27" t="s">
        <v>158</v>
      </c>
      <c r="E7" s="27" t="s">
        <v>23</v>
      </c>
      <c r="F7" s="27" t="s">
        <v>159</v>
      </c>
      <c r="H7" s="27" t="s">
        <v>160</v>
      </c>
      <c r="I7" s="27" t="s">
        <v>161</v>
      </c>
      <c r="J7" s="27" t="s">
        <v>162</v>
      </c>
      <c r="K7" s="27" t="s">
        <v>163</v>
      </c>
      <c r="L7" s="27" t="s">
        <v>27</v>
      </c>
      <c r="M7" s="27" t="s">
        <v>140</v>
      </c>
    </row>
    <row r="8" ht="45" customHeight="1">
      <c r="A8" s="27" t="s">
        <v>14</v>
      </c>
      <c r="B8" s="27" t="s">
        <v>164</v>
      </c>
      <c r="C8" s="27" t="s">
        <v>165</v>
      </c>
      <c r="D8" s="27" t="s">
        <v>166</v>
      </c>
      <c r="E8" s="27" t="s">
        <v>23</v>
      </c>
      <c r="F8" s="27" t="s">
        <v>167</v>
      </c>
      <c r="H8" s="27" t="s">
        <v>168</v>
      </c>
      <c r="I8" s="27" t="s">
        <v>169</v>
      </c>
      <c r="J8" s="27" t="s">
        <v>170</v>
      </c>
      <c r="K8" s="27" t="s">
        <v>171</v>
      </c>
      <c r="L8" s="27" t="s">
        <v>27</v>
      </c>
      <c r="M8" s="27" t="s">
        <v>140</v>
      </c>
    </row>
    <row r="9" ht="45" customHeight="1">
      <c r="A9" s="27" t="s">
        <v>15</v>
      </c>
      <c r="B9" s="27" t="s">
        <v>172</v>
      </c>
      <c r="C9" s="27" t="s">
        <v>173</v>
      </c>
      <c r="D9" s="27" t="s">
        <v>174</v>
      </c>
      <c r="E9" s="27" t="s">
        <v>23</v>
      </c>
      <c r="F9" s="27" t="s">
        <v>175</v>
      </c>
      <c r="H9" s="27" t="s">
        <v>176</v>
      </c>
      <c r="I9" s="27" t="s">
        <v>177</v>
      </c>
      <c r="J9" s="27" t="s">
        <v>178</v>
      </c>
      <c r="K9" s="27" t="s">
        <v>179</v>
      </c>
      <c r="L9" s="27" t="s">
        <v>27</v>
      </c>
      <c r="M9" s="27" t="s">
        <v>140</v>
      </c>
    </row>
    <row r="10" ht="45" customHeight="1">
      <c r="A10" s="27" t="s">
        <v>16</v>
      </c>
      <c r="B10" s="27" t="s">
        <v>180</v>
      </c>
      <c r="C10" s="27" t="s">
        <v>181</v>
      </c>
      <c r="D10" s="27" t="s">
        <v>182</v>
      </c>
      <c r="E10" s="27" t="s">
        <v>23</v>
      </c>
      <c r="F10" s="27" t="s">
        <v>183</v>
      </c>
      <c r="H10" s="27" t="s">
        <v>184</v>
      </c>
      <c r="I10" s="27" t="s">
        <v>185</v>
      </c>
      <c r="J10" s="27" t="s">
        <v>186</v>
      </c>
      <c r="K10" s="27" t="s">
        <v>187</v>
      </c>
      <c r="L10" s="27" t="s">
        <v>27</v>
      </c>
      <c r="M10" s="27" t="s">
        <v>140</v>
      </c>
    </row>
    <row r="11" ht="45" customHeight="1">
      <c r="A11" s="27" t="s">
        <v>17</v>
      </c>
      <c r="B11" s="27" t="s">
        <v>188</v>
      </c>
      <c r="C11" s="27" t="s">
        <v>189</v>
      </c>
      <c r="D11" s="27" t="s">
        <v>190</v>
      </c>
      <c r="E11" s="27" t="s">
        <v>23</v>
      </c>
      <c r="F11" s="27" t="s">
        <v>191</v>
      </c>
    </row>
    <row r="12" ht="45" customHeight="1">
      <c r="A12" s="27" t="s">
        <v>18</v>
      </c>
      <c r="B12" s="27" t="s">
        <v>192</v>
      </c>
      <c r="C12" s="27" t="s">
        <v>193</v>
      </c>
      <c r="D12" s="27" t="s">
        <v>194</v>
      </c>
      <c r="E12" s="27" t="s">
        <v>44</v>
      </c>
      <c r="F12" s="27" t="s">
        <v>195</v>
      </c>
    </row>
  </sheetData>
  <mergeCells count="2">
    <mergeCell ref="A1:F1"/>
    <mergeCell ref="H1:M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D1"/>
    </sheetView>
  </sheetViews>
  <sheetFormatPr defaultRowHeight="15.0" baseColWidth="10"/>
  <cols>
    <col min="1" max="1" width="18" hidden="0" customWidth="1"/>
    <col min="2" max="2" width="16" hidden="0" customWidth="1"/>
    <col min="3" max="3" width="18" hidden="0" customWidth="1"/>
    <col min="4" max="4" width="12" hidden="0" customWidth="1"/>
  </cols>
  <sheetData>
    <row r="1" ht="21" customHeight="1">
      <c r="A1" s="34" t="s">
        <v>196</v>
      </c>
      <c r="B1" s="34"/>
      <c r="C1" s="34"/>
      <c r="D1" s="3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ht="15" customHeight="1">
      <c r="A3" s="33" t="s">
        <v>197</v>
      </c>
      <c r="B3" s="33" t="s">
        <v>198</v>
      </c>
      <c r="C3" s="33" t="s">
        <v>199</v>
      </c>
      <c r="D3" s="33" t="s">
        <v>6</v>
      </c>
    </row>
    <row r="4">
      <c r="A4" s="27" t="s">
        <v>21</v>
      </c>
      <c r="B4" s="27" t="s">
        <v>23</v>
      </c>
      <c r="C4" s="27" t="s">
        <v>200</v>
      </c>
      <c r="D4" s="27"/>
    </row>
    <row r="5">
      <c r="A5" s="27" t="s">
        <v>31</v>
      </c>
      <c r="B5" s="27" t="s">
        <v>23</v>
      </c>
      <c r="C5" s="27"/>
      <c r="D5" s="27"/>
    </row>
    <row r="6">
      <c r="A6" s="27" t="s">
        <v>36</v>
      </c>
      <c r="B6" s="27" t="s">
        <v>23</v>
      </c>
      <c r="C6" s="27"/>
      <c r="D6" s="27"/>
    </row>
    <row r="7">
      <c r="A7" s="27" t="s">
        <v>42</v>
      </c>
      <c r="B7" s="27" t="s">
        <v>44</v>
      </c>
      <c r="C7" s="27"/>
      <c r="D7" s="27"/>
    </row>
    <row r="8">
      <c r="A8" s="27" t="s">
        <v>50</v>
      </c>
      <c r="B8" s="27" t="s">
        <v>23</v>
      </c>
      <c r="C8" s="27"/>
      <c r="D8" s="27"/>
    </row>
    <row r="9">
      <c r="A9" s="27" t="s">
        <v>57</v>
      </c>
      <c r="B9" s="27" t="s">
        <v>44</v>
      </c>
      <c r="C9" s="27"/>
      <c r="D9" s="27"/>
    </row>
    <row r="10">
      <c r="A10" s="27" t="s">
        <v>63</v>
      </c>
      <c r="B10" s="27" t="s">
        <v>23</v>
      </c>
      <c r="C10" s="27"/>
      <c r="D10" s="27"/>
    </row>
    <row r="11">
      <c r="A11" s="27" t="s">
        <v>68</v>
      </c>
      <c r="B11" s="27" t="s">
        <v>23</v>
      </c>
      <c r="C11" s="27"/>
      <c r="D11" s="27"/>
    </row>
    <row r="12">
      <c r="A12" s="27" t="s">
        <v>73</v>
      </c>
      <c r="B12" s="27" t="s">
        <v>44</v>
      </c>
      <c r="C12" s="27"/>
      <c r="D12" s="27"/>
    </row>
    <row r="13">
      <c r="A13" s="27" t="s">
        <v>78</v>
      </c>
      <c r="B13" s="27" t="s">
        <v>44</v>
      </c>
      <c r="C13" s="27"/>
      <c r="D13" s="27"/>
    </row>
    <row r="14">
      <c r="A14" s="27" t="s">
        <v>83</v>
      </c>
      <c r="B14" s="27" t="s">
        <v>44</v>
      </c>
      <c r="C14" s="27"/>
      <c r="D14" s="27"/>
    </row>
    <row r="15">
      <c r="A15" s="27" t="s">
        <v>89</v>
      </c>
      <c r="B15" s="27" t="s">
        <v>44</v>
      </c>
      <c r="C15" s="27"/>
      <c r="D15" s="27"/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K1"/>
    </sheetView>
  </sheetViews>
  <sheetFormatPr defaultRowHeight="15.0" baseColWidth="10"/>
  <cols>
    <col min="1" max="1" width="8" hidden="0" customWidth="1"/>
    <col min="2" max="2" width="16" hidden="0" customWidth="1"/>
    <col min="3" max="3" width="26" hidden="0" customWidth="1"/>
    <col min="4" max="4" width="30" hidden="0" customWidth="1"/>
    <col min="5" max="5" width="22" hidden="0" customWidth="1"/>
    <col min="6" max="6" width="12" hidden="0" customWidth="1"/>
    <col min="7" max="7" width="12" hidden="0" customWidth="1"/>
    <col min="8" max="8" width="12" hidden="0" customWidth="1"/>
    <col min="9" max="9" width="14" hidden="0" customWidth="1"/>
    <col min="10" max="10" width="10" hidden="0" customWidth="1"/>
    <col min="11" max="11" width="26" hidden="0" customWidth="1"/>
  </cols>
  <sheetData>
    <row r="1" ht="21.75" customHeight="1">
      <c r="A1" s="28" t="s">
        <v>201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" customHeight="1">
      <c r="A2" s="35" t="s">
        <v>202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ht="15" customHeight="1">
      <c r="A4" s="24" t="s">
        <v>2</v>
      </c>
      <c r="B4" s="24" t="s">
        <v>3</v>
      </c>
      <c r="C4" s="24" t="s">
        <v>203</v>
      </c>
      <c r="D4" s="24" t="s">
        <v>204</v>
      </c>
      <c r="E4" s="24" t="s">
        <v>205</v>
      </c>
      <c r="F4" s="24" t="s">
        <v>206</v>
      </c>
      <c r="G4" s="24" t="s">
        <v>207</v>
      </c>
      <c r="H4" s="24" t="s">
        <v>208</v>
      </c>
      <c r="I4" s="24" t="s">
        <v>209</v>
      </c>
      <c r="J4" s="24" t="s">
        <v>210</v>
      </c>
      <c r="K4" s="24" t="s">
        <v>127</v>
      </c>
    </row>
    <row r="5" ht="36" customHeight="1">
      <c r="A5" s="27" t="s">
        <v>20</v>
      </c>
      <c r="B5" s="27" t="s">
        <v>21</v>
      </c>
      <c r="C5" s="27" t="s">
        <v>211</v>
      </c>
      <c r="D5" s="27" t="s">
        <v>212</v>
      </c>
      <c r="E5" s="27" t="s">
        <v>213</v>
      </c>
      <c r="F5" s="27" t="s">
        <v>140</v>
      </c>
      <c r="G5" s="27" t="s">
        <v>140</v>
      </c>
      <c r="H5" s="27" t="s">
        <v>140</v>
      </c>
      <c r="I5" s="27" t="s">
        <v>52</v>
      </c>
      <c r="J5" s="27" t="s">
        <v>214</v>
      </c>
      <c r="K5" s="27"/>
    </row>
    <row r="6" ht="36" customHeight="1">
      <c r="A6" s="27" t="s">
        <v>30</v>
      </c>
      <c r="B6" s="27" t="s">
        <v>31</v>
      </c>
      <c r="C6" s="27" t="s">
        <v>215</v>
      </c>
      <c r="D6" s="27" t="s">
        <v>216</v>
      </c>
      <c r="E6" s="27" t="s">
        <v>217</v>
      </c>
      <c r="F6" s="27" t="s">
        <v>140</v>
      </c>
      <c r="G6" s="27" t="s">
        <v>140</v>
      </c>
      <c r="H6" s="27" t="s">
        <v>140</v>
      </c>
      <c r="I6" s="27" t="s">
        <v>52</v>
      </c>
      <c r="J6" s="27" t="s">
        <v>214</v>
      </c>
      <c r="K6" s="27"/>
    </row>
    <row r="7" ht="36" customHeight="1">
      <c r="A7" s="27" t="s">
        <v>35</v>
      </c>
      <c r="B7" s="27" t="s">
        <v>36</v>
      </c>
      <c r="C7" s="27" t="s">
        <v>218</v>
      </c>
      <c r="D7" s="27" t="s">
        <v>219</v>
      </c>
      <c r="E7" s="27" t="s">
        <v>220</v>
      </c>
      <c r="F7" s="27" t="s">
        <v>140</v>
      </c>
      <c r="G7" s="27" t="s">
        <v>140</v>
      </c>
      <c r="H7" s="27" t="s">
        <v>140</v>
      </c>
      <c r="I7" s="27" t="s">
        <v>221</v>
      </c>
      <c r="J7" s="27" t="s">
        <v>214</v>
      </c>
      <c r="K7" s="27"/>
    </row>
    <row r="8" ht="36" customHeight="1">
      <c r="A8" s="27" t="s">
        <v>41</v>
      </c>
      <c r="B8" s="27" t="s">
        <v>42</v>
      </c>
      <c r="C8" s="27" t="s">
        <v>222</v>
      </c>
      <c r="D8" s="27" t="s">
        <v>223</v>
      </c>
      <c r="E8" s="27" t="s">
        <v>224</v>
      </c>
      <c r="F8" s="27" t="s">
        <v>140</v>
      </c>
      <c r="G8" s="27" t="s">
        <v>140</v>
      </c>
      <c r="H8" s="27" t="s">
        <v>140</v>
      </c>
      <c r="I8" s="27" t="s">
        <v>225</v>
      </c>
      <c r="J8" s="27" t="s">
        <v>214</v>
      </c>
      <c r="K8" s="27"/>
    </row>
    <row r="9" ht="36" customHeight="1">
      <c r="A9" s="27" t="s">
        <v>49</v>
      </c>
      <c r="B9" s="27" t="s">
        <v>50</v>
      </c>
      <c r="C9" s="27" t="s">
        <v>226</v>
      </c>
      <c r="D9" s="27" t="s">
        <v>227</v>
      </c>
      <c r="E9" s="27" t="s">
        <v>228</v>
      </c>
      <c r="F9" s="27" t="s">
        <v>140</v>
      </c>
      <c r="G9" s="27" t="s">
        <v>140</v>
      </c>
      <c r="H9" s="27" t="s">
        <v>140</v>
      </c>
      <c r="I9" s="27" t="s">
        <v>52</v>
      </c>
      <c r="J9" s="27" t="s">
        <v>214</v>
      </c>
      <c r="K9" s="27"/>
    </row>
    <row r="10" ht="36" customHeight="1">
      <c r="A10" s="27" t="s">
        <v>56</v>
      </c>
      <c r="B10" s="27" t="s">
        <v>57</v>
      </c>
      <c r="C10" s="27" t="s">
        <v>229</v>
      </c>
      <c r="D10" s="27" t="s">
        <v>230</v>
      </c>
      <c r="E10" s="27" t="s">
        <v>231</v>
      </c>
      <c r="F10" s="27" t="s">
        <v>140</v>
      </c>
      <c r="G10" s="27" t="s">
        <v>140</v>
      </c>
      <c r="H10" s="27" t="s">
        <v>140</v>
      </c>
      <c r="I10" s="27" t="s">
        <v>225</v>
      </c>
      <c r="J10" s="27" t="s">
        <v>214</v>
      </c>
      <c r="K10" s="27"/>
    </row>
    <row r="11" ht="36" customHeight="1">
      <c r="A11" s="27" t="s">
        <v>62</v>
      </c>
      <c r="B11" s="27" t="s">
        <v>63</v>
      </c>
      <c r="C11" s="27" t="s">
        <v>232</v>
      </c>
      <c r="D11" s="27" t="s">
        <v>233</v>
      </c>
      <c r="E11" s="27" t="s">
        <v>234</v>
      </c>
      <c r="F11" s="27" t="s">
        <v>140</v>
      </c>
      <c r="G11" s="27" t="s">
        <v>140</v>
      </c>
      <c r="H11" s="27" t="s">
        <v>140</v>
      </c>
      <c r="I11" s="27" t="s">
        <v>52</v>
      </c>
      <c r="J11" s="27" t="s">
        <v>214</v>
      </c>
      <c r="K11" s="27"/>
    </row>
    <row r="12" ht="36" customHeight="1">
      <c r="A12" s="27" t="s">
        <v>67</v>
      </c>
      <c r="B12" s="27" t="s">
        <v>68</v>
      </c>
      <c r="C12" s="27" t="s">
        <v>235</v>
      </c>
      <c r="D12" s="27" t="s">
        <v>236</v>
      </c>
      <c r="E12" s="27" t="s">
        <v>237</v>
      </c>
      <c r="F12" s="27" t="s">
        <v>140</v>
      </c>
      <c r="G12" s="27" t="s">
        <v>140</v>
      </c>
      <c r="H12" s="27" t="s">
        <v>140</v>
      </c>
      <c r="I12" s="27" t="s">
        <v>221</v>
      </c>
      <c r="J12" s="27" t="s">
        <v>214</v>
      </c>
      <c r="K12" s="27"/>
    </row>
    <row r="13" ht="36" customHeight="1">
      <c r="A13" s="27" t="s">
        <v>72</v>
      </c>
      <c r="B13" s="27" t="s">
        <v>73</v>
      </c>
      <c r="C13" s="27" t="s">
        <v>238</v>
      </c>
      <c r="D13" s="27" t="s">
        <v>239</v>
      </c>
      <c r="E13" s="27" t="s">
        <v>240</v>
      </c>
      <c r="F13" s="27" t="s">
        <v>140</v>
      </c>
      <c r="G13" s="27" t="s">
        <v>140</v>
      </c>
      <c r="H13" s="27" t="s">
        <v>140</v>
      </c>
      <c r="I13" s="27" t="s">
        <v>225</v>
      </c>
      <c r="J13" s="27" t="s">
        <v>214</v>
      </c>
      <c r="K13" s="27"/>
    </row>
    <row r="14" ht="36" customHeight="1">
      <c r="A14" s="27" t="s">
        <v>77</v>
      </c>
      <c r="B14" s="27" t="s">
        <v>78</v>
      </c>
      <c r="C14" s="27" t="s">
        <v>241</v>
      </c>
      <c r="D14" s="27" t="s">
        <v>242</v>
      </c>
      <c r="E14" s="27" t="s">
        <v>243</v>
      </c>
      <c r="F14" s="27" t="s">
        <v>140</v>
      </c>
      <c r="G14" s="27" t="s">
        <v>140</v>
      </c>
      <c r="H14" s="27" t="s">
        <v>140</v>
      </c>
      <c r="I14" s="27" t="s">
        <v>225</v>
      </c>
      <c r="J14" s="27" t="s">
        <v>214</v>
      </c>
      <c r="K14" s="27"/>
    </row>
    <row r="15" ht="36" customHeight="1">
      <c r="A15" s="27" t="s">
        <v>82</v>
      </c>
      <c r="B15" s="27" t="s">
        <v>83</v>
      </c>
      <c r="C15" s="27" t="s">
        <v>244</v>
      </c>
      <c r="D15" s="27" t="s">
        <v>245</v>
      </c>
      <c r="E15" s="27" t="s">
        <v>246</v>
      </c>
      <c r="F15" s="27" t="s">
        <v>140</v>
      </c>
      <c r="G15" s="27" t="s">
        <v>140</v>
      </c>
      <c r="H15" s="27" t="s">
        <v>140</v>
      </c>
      <c r="I15" s="27" t="s">
        <v>225</v>
      </c>
      <c r="J15" s="27" t="s">
        <v>214</v>
      </c>
      <c r="K15" s="27"/>
    </row>
    <row r="16" ht="36" customHeight="1">
      <c r="A16" s="27" t="s">
        <v>88</v>
      </c>
      <c r="B16" s="27" t="s">
        <v>89</v>
      </c>
      <c r="C16" s="27" t="s">
        <v>247</v>
      </c>
      <c r="D16" s="27" t="s">
        <v>248</v>
      </c>
      <c r="E16" s="27" t="s">
        <v>249</v>
      </c>
      <c r="F16" s="27" t="s">
        <v>140</v>
      </c>
      <c r="G16" s="27" t="s">
        <v>140</v>
      </c>
      <c r="H16" s="27" t="s">
        <v>140</v>
      </c>
      <c r="I16" s="27" t="s">
        <v>225</v>
      </c>
      <c r="J16" s="27" t="s">
        <v>214</v>
      </c>
      <c r="K16" s="27"/>
    </row>
  </sheetData>
  <mergeCells count="2">
    <mergeCell ref="A1:K1"/>
    <mergeCell ref="A2:K2"/>
  </mergeCells>
  <conditionalFormatting sqref="F5:H16">
    <cfRule type="expression" dxfId="3" priority="1">
      <formula>F5="完成"</formula>
    </cfRule>
  </conditionalFormatting>
  <conditionalFormatting sqref="I5:I16">
    <cfRule type="expression" dxfId="2" priority="2">
      <formula>I5="通过"</formula>
    </cfRule>
    <cfRule type="expression" dxfId="1" priority="3">
      <formula>I5="需补齐"</formula>
    </cfRule>
    <cfRule type="expression" dxfId="0" priority="4">
      <formula>I5="测试中"</formula>
    </cfRule>
  </conditionalFormatting>
  <dataValidations count="2">
    <dataValidation type="list" sqref="F5:H16" xr:uid="{00000000-0002-0000-0500-000000000000}">
      <formula1>"□,完成,不适用"</formula1>
    </dataValidation>
    <dataValidation type="list" sqref="I5:I16" xr:uid="{00000000-0002-0000-0500-000001000000}">
      <formula1>"未开始,需补齐,测试中,通过,暂停"</formula1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24" sqref="D24"/>
    </sheetView>
  </sheetViews>
  <sheetFormatPr defaultRowHeight="15.0" baseColWidth="10"/>
  <cols>
    <col min="1" max="1" width="10" hidden="0" customWidth="1"/>
    <col min="2" max="2" width="12" hidden="0" customWidth="1"/>
    <col min="3" max="3" width="12" hidden="0" customWidth="1"/>
    <col min="4" max="4" width="38" hidden="0" customWidth="1"/>
    <col min="5" max="5" width="14" hidden="0" customWidth="1"/>
    <col min="6" max="6" width="14" hidden="0" customWidth="1"/>
    <col min="7" max="7" width="12" hidden="0" customWidth="1"/>
    <col min="8" max="8" width="30" hidden="0" customWidth="1"/>
    <col min="9" max="9" width="34" hidden="0" customWidth="1"/>
    <col min="10" max="10" width="24" hidden="0" customWidth="1"/>
  </cols>
  <sheetData>
    <row r="1" ht="21.75" customHeight="1">
      <c r="A1" s="28" t="s">
        <v>250</v>
      </c>
      <c r="B1" s="28"/>
      <c r="C1" s="28"/>
      <c r="D1" s="28"/>
      <c r="E1" s="28"/>
      <c r="F1" s="28"/>
      <c r="G1" s="28"/>
      <c r="H1" s="28"/>
      <c r="I1" s="28"/>
      <c r="J1" s="2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" customHeight="1">
      <c r="A2" s="35" t="s">
        <v>251</v>
      </c>
      <c r="B2" s="35"/>
      <c r="C2" s="35"/>
      <c r="D2" s="35"/>
      <c r="E2" s="35"/>
      <c r="F2" s="35"/>
      <c r="G2" s="35"/>
      <c r="H2" s="35"/>
      <c r="I2" s="35"/>
      <c r="J2" s="35"/>
    </row>
    <row r="4" ht="15" customHeight="1">
      <c r="A4" s="24" t="s">
        <v>252</v>
      </c>
      <c r="B4" s="24" t="s">
        <v>253</v>
      </c>
      <c r="C4" s="24" t="s">
        <v>254</v>
      </c>
      <c r="D4" s="24" t="s">
        <v>255</v>
      </c>
      <c r="E4" s="24" t="s">
        <v>256</v>
      </c>
      <c r="F4" s="24" t="s">
        <v>257</v>
      </c>
      <c r="G4" s="24" t="s">
        <v>258</v>
      </c>
      <c r="H4" s="24" t="s">
        <v>259</v>
      </c>
      <c r="I4" s="24" t="s">
        <v>260</v>
      </c>
      <c r="J4" s="24" t="s">
        <v>127</v>
      </c>
    </row>
    <row r="5" ht="50.1" customHeight="1">
      <c r="A5" s="27" t="s">
        <v>112</v>
      </c>
      <c r="B5" s="30" t="n">
        <v>46190</v>
      </c>
      <c r="C5" s="30" t="n">
        <v>46196</v>
      </c>
      <c r="D5" s="27" t="s">
        <v>261</v>
      </c>
      <c r="E5" s="27"/>
      <c r="F5" s="27"/>
      <c r="G5" s="36" t="str">
        <f t="shared" ref="G5:G12" si="0">IF(E5=0,"",F5/E5)</f>
      </c>
      <c r="H5" s="27"/>
      <c r="I5" s="27"/>
      <c r="J5" s="27"/>
    </row>
    <row r="6" ht="50.1" customHeight="1">
      <c r="A6" s="27" t="s">
        <v>113</v>
      </c>
      <c r="B6" s="30" t="n">
        <v>46197</v>
      </c>
      <c r="C6" s="30" t="n">
        <v>46203</v>
      </c>
      <c r="D6" s="27" t="s">
        <v>262</v>
      </c>
      <c r="E6" s="27"/>
      <c r="F6" s="27"/>
      <c r="G6" s="36" t="str">
        <f t="shared" si="0"/>
      </c>
      <c r="H6" s="27"/>
      <c r="I6" s="27"/>
      <c r="J6" s="27"/>
    </row>
    <row r="7" ht="50.1" customHeight="1">
      <c r="A7" s="27" t="s">
        <v>114</v>
      </c>
      <c r="B7" s="30" t="n">
        <v>46204</v>
      </c>
      <c r="C7" s="30" t="n">
        <v>46210</v>
      </c>
      <c r="D7" s="27" t="s">
        <v>263</v>
      </c>
      <c r="E7" s="27"/>
      <c r="F7" s="27"/>
      <c r="G7" s="36" t="str">
        <f t="shared" si="0"/>
      </c>
      <c r="H7" s="27"/>
      <c r="I7" s="27"/>
      <c r="J7" s="27"/>
    </row>
    <row r="8" ht="50.1" customHeight="1">
      <c r="A8" s="27" t="s">
        <v>115</v>
      </c>
      <c r="B8" s="30" t="n">
        <v>46211</v>
      </c>
      <c r="C8" s="30" t="n">
        <v>46217</v>
      </c>
      <c r="D8" s="27" t="s">
        <v>264</v>
      </c>
      <c r="E8" s="27"/>
      <c r="F8" s="27"/>
      <c r="G8" s="36" t="str">
        <f t="shared" si="0"/>
      </c>
      <c r="H8" s="27"/>
      <c r="I8" s="27"/>
      <c r="J8" s="27"/>
    </row>
    <row r="9" ht="50.1" customHeight="1">
      <c r="A9" s="27" t="s">
        <v>116</v>
      </c>
      <c r="B9" s="30" t="n">
        <v>46218</v>
      </c>
      <c r="C9" s="30" t="n">
        <v>46224</v>
      </c>
      <c r="D9" s="27" t="s">
        <v>265</v>
      </c>
      <c r="E9" s="27"/>
      <c r="F9" s="27"/>
      <c r="G9" s="36" t="str">
        <f t="shared" si="0"/>
      </c>
      <c r="H9" s="27"/>
      <c r="I9" s="27"/>
      <c r="J9" s="27"/>
    </row>
    <row r="10" ht="50.1" customHeight="1">
      <c r="A10" s="27" t="s">
        <v>117</v>
      </c>
      <c r="B10" s="30" t="n">
        <v>46225</v>
      </c>
      <c r="C10" s="30" t="n">
        <v>46231</v>
      </c>
      <c r="D10" s="27" t="s">
        <v>266</v>
      </c>
      <c r="E10" s="27"/>
      <c r="F10" s="27"/>
      <c r="G10" s="36" t="str">
        <f t="shared" si="0"/>
      </c>
      <c r="H10" s="27"/>
      <c r="I10" s="27"/>
      <c r="J10" s="27"/>
    </row>
    <row r="11" ht="50.1" customHeight="1">
      <c r="A11" s="27" t="s">
        <v>118</v>
      </c>
      <c r="B11" s="30" t="n">
        <v>46232</v>
      </c>
      <c r="C11" s="30" t="n">
        <v>46238</v>
      </c>
      <c r="D11" s="27" t="s">
        <v>267</v>
      </c>
      <c r="E11" s="27"/>
      <c r="F11" s="27"/>
      <c r="G11" s="36" t="str">
        <f t="shared" si="0"/>
      </c>
      <c r="H11" s="27"/>
      <c r="I11" s="27"/>
      <c r="J11" s="27"/>
    </row>
    <row r="12" ht="50.1" customHeight="1">
      <c r="A12" s="27" t="s">
        <v>119</v>
      </c>
      <c r="B12" s="30" t="n">
        <v>46239</v>
      </c>
      <c r="C12" s="30" t="n">
        <v>46245</v>
      </c>
      <c r="D12" s="27" t="s">
        <v>268</v>
      </c>
      <c r="E12" s="27"/>
      <c r="F12" s="27"/>
      <c r="G12" s="36" t="str">
        <f t="shared" si="0"/>
      </c>
      <c r="H12" s="27"/>
      <c r="I12" s="27"/>
      <c r="J12" s="27"/>
    </row>
  </sheetData>
  <mergeCells count="2">
    <mergeCell ref="A1:J1"/>
    <mergeCell ref="A2:J2"/>
  </mergeCells>
  <conditionalFormatting sqref="G5:G12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{6A89D10F-409C-902B-4E7F-6D572F5F82B1}</x14:id>
        </ext>
      </extLst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89D10F-409C-902B-4E7F-6D572F5F82B1}">
            <x14:dataBar>
              <x14:cfvo type="min"/>
              <x14:cfvo type="max"/>
              <x14:negativeFillColor auto="1"/>
              <x14:axisColor auto="1"/>
            </x14:dataBar>
          </x14:cfRule>
          <xm:sqref>G5:G12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徐彤</dc:creator>
  <cp:lastModifiedBy>彤 徐</cp:lastModifiedBy>
  <dcterms:created xsi:type="dcterms:W3CDTF">2026-06-18T01:39:32Z</dcterms:created>
  <dcterms:modified xsi:type="dcterms:W3CDTF">2026-06-22T01:26:50Z</dcterms:modified>
</cp:coreProperties>
</file>